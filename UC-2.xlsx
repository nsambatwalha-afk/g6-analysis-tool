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twalha/Documents/GitHub/g6-analysis-tool/"/>
    </mc:Choice>
  </mc:AlternateContent>
  <xr:revisionPtr revIDLastSave="0" documentId="13_ncr:1_{DAC9A519-2414-9641-BEFF-8533E2FAB906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tructural Steel Section Proper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</calcChain>
</file>

<file path=xl/sharedStrings.xml><?xml version="1.0" encoding="utf-8"?>
<sst xmlns="http://schemas.openxmlformats.org/spreadsheetml/2006/main" count="55" uniqueCount="55">
  <si>
    <t>Designation</t>
  </si>
  <si>
    <t>Iy−y​ (cm4)</t>
  </si>
  <si>
    <t>Iz−z​ (cm4)</t>
  </si>
  <si>
    <t>ry−y​ (cm)</t>
  </si>
  <si>
    <t>rz−z​ (cm)</t>
  </si>
  <si>
    <t>Zy−y​ (cm3)</t>
  </si>
  <si>
    <t>Zz−z​ (cm3)</t>
  </si>
  <si>
    <t>Sy−y​ (cm3)</t>
  </si>
  <si>
    <t>Sz−z​ (cm3)</t>
  </si>
  <si>
    <t>U</t>
  </si>
  <si>
    <t>X</t>
  </si>
  <si>
    <t>Iw​ (dm6)</t>
  </si>
  <si>
    <t>IT​ (cm4)</t>
  </si>
  <si>
    <t>356x406x634</t>
  </si>
  <si>
    <t>356x406x551</t>
  </si>
  <si>
    <t>356x406x467</t>
  </si>
  <si>
    <t>356x406x393</t>
  </si>
  <si>
    <t>356x406x340</t>
  </si>
  <si>
    <t>356x406x287</t>
  </si>
  <si>
    <t>356x406x235</t>
  </si>
  <si>
    <t>356x368x202</t>
  </si>
  <si>
    <t>356x368x177</t>
  </si>
  <si>
    <t>356x368x153</t>
  </si>
  <si>
    <t>356x368x129</t>
  </si>
  <si>
    <t>305x305x283</t>
  </si>
  <si>
    <t>305x305x240</t>
  </si>
  <si>
    <t>305x305x198</t>
  </si>
  <si>
    <t>305x305x158</t>
  </si>
  <si>
    <t>305x305x137</t>
  </si>
  <si>
    <t>305x305x118</t>
  </si>
  <si>
    <t>305x305x97</t>
  </si>
  <si>
    <t>254x254x167</t>
  </si>
  <si>
    <t>254x254x132</t>
  </si>
  <si>
    <t>254x254x107</t>
  </si>
  <si>
    <t>254x254x89</t>
  </si>
  <si>
    <t>254x254x73</t>
  </si>
  <si>
    <t>203x203x86</t>
  </si>
  <si>
    <t>203x203x71</t>
  </si>
  <si>
    <t>203x203x60</t>
  </si>
  <si>
    <t>203x203x52</t>
  </si>
  <si>
    <t>203x203x46</t>
  </si>
  <si>
    <t>152x152x37</t>
  </si>
  <si>
    <t>152x152x30</t>
  </si>
  <si>
    <t>152x152x23</t>
  </si>
  <si>
    <t>Area (mm2)</t>
  </si>
  <si>
    <t>Web tw​ (mm)</t>
  </si>
  <si>
    <t>Depth (h) mm</t>
  </si>
  <si>
    <t>Flange tf (mm)</t>
  </si>
  <si>
    <t>Root radius mm</t>
  </si>
  <si>
    <t>b (mm)</t>
  </si>
  <si>
    <t>203x203x127+</t>
  </si>
  <si>
    <t>203x203x113+</t>
  </si>
  <si>
    <t>203x203x100+</t>
  </si>
  <si>
    <t>152x152x51+</t>
  </si>
  <si>
    <t>152x152x44+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</si>
</sst>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UC-1.xlsx" TargetMode="External"/><Relationship Id="rId2" Type="http://schemas.openxmlformats.org/officeDocument/2006/relationships/externalLinkPath" Target="/Users/twalha/Downloads/UC-1.xlsx" TargetMode="External"/><Relationship Id="rId1" Type="http://schemas.openxmlformats.org/officeDocument/2006/relationships/externalLinkPath" Target="/Users/twalha/Downloads/UC-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ructural Steel Section Proper"/>
    </sheetNames>
    <sheetDataSet>
      <sheetData sheetId="0">
        <row r="1">
          <cell r="A1" t="str">
            <v>Designation</v>
          </cell>
          <cell r="B1" t="str">
            <v>Mass (kg/m)</v>
          </cell>
          <cell r="C1" t="str">
            <v>h (mm)</v>
          </cell>
          <cell r="D1" t="str">
            <v>b (mm)</v>
          </cell>
          <cell r="E1" t="str">
            <v>tw​ (mm)</v>
          </cell>
          <cell r="F1" t="str">
            <v>tf​ (mm)</v>
          </cell>
          <cell r="G1" t="str">
            <v>r (mm)</v>
          </cell>
          <cell r="H1" t="str">
            <v>d (mm)</v>
          </cell>
          <cell r="I1" t="str">
            <v>c/tf​</v>
          </cell>
          <cell r="J1" t="str">
            <v>cw​/tw​</v>
          </cell>
          <cell r="K1" t="str">
            <v>C (mm)</v>
          </cell>
          <cell r="L1" t="str">
            <v>N (mm)</v>
          </cell>
          <cell r="M1" t="str">
            <v>n (mm)</v>
          </cell>
          <cell r="N1" t="str">
            <v>Area/m (m2)</v>
          </cell>
          <cell r="O1" t="str">
            <v>Area/T (m2)</v>
          </cell>
        </row>
        <row r="2">
          <cell r="A2" t="str">
            <v>152x152x23</v>
          </cell>
          <cell r="B2">
            <v>23</v>
          </cell>
          <cell r="C2">
            <v>152.4</v>
          </cell>
          <cell r="D2">
            <v>152.19999999999999</v>
          </cell>
          <cell r="E2">
            <v>5.8</v>
          </cell>
          <cell r="F2">
            <v>6.8</v>
          </cell>
          <cell r="G2">
            <v>7.6</v>
          </cell>
          <cell r="H2">
            <v>123.6</v>
          </cell>
          <cell r="I2">
            <v>9.65</v>
          </cell>
          <cell r="J2">
            <v>21.3</v>
          </cell>
          <cell r="K2">
            <v>5</v>
          </cell>
          <cell r="L2">
            <v>84</v>
          </cell>
          <cell r="M2">
            <v>16</v>
          </cell>
          <cell r="N2">
            <v>0.88900000000000001</v>
          </cell>
          <cell r="O2">
            <v>38.700000000000003</v>
          </cell>
        </row>
        <row r="3">
          <cell r="A3" t="str">
            <v>152x152x30</v>
          </cell>
          <cell r="B3">
            <v>30</v>
          </cell>
          <cell r="C3">
            <v>157.6</v>
          </cell>
          <cell r="D3">
            <v>152.9</v>
          </cell>
          <cell r="E3">
            <v>6.5</v>
          </cell>
          <cell r="F3">
            <v>9.4</v>
          </cell>
          <cell r="G3">
            <v>7.6</v>
          </cell>
          <cell r="H3">
            <v>123.6</v>
          </cell>
          <cell r="I3">
            <v>6.98</v>
          </cell>
          <cell r="J3">
            <v>19</v>
          </cell>
          <cell r="K3">
            <v>5</v>
          </cell>
          <cell r="L3">
            <v>84</v>
          </cell>
          <cell r="M3">
            <v>18</v>
          </cell>
          <cell r="N3">
            <v>0.90100000000000002</v>
          </cell>
          <cell r="O3">
            <v>30</v>
          </cell>
        </row>
        <row r="4">
          <cell r="A4" t="str">
            <v>152x152x37</v>
          </cell>
          <cell r="B4">
            <v>37</v>
          </cell>
          <cell r="C4">
            <v>161.80000000000001</v>
          </cell>
          <cell r="D4">
            <v>154.4</v>
          </cell>
          <cell r="E4">
            <v>8</v>
          </cell>
          <cell r="F4">
            <v>11.5</v>
          </cell>
          <cell r="G4">
            <v>7.6</v>
          </cell>
          <cell r="H4">
            <v>123.6</v>
          </cell>
          <cell r="I4">
            <v>5.7</v>
          </cell>
          <cell r="J4">
            <v>15.5</v>
          </cell>
          <cell r="K4">
            <v>6</v>
          </cell>
          <cell r="L4">
            <v>84</v>
          </cell>
          <cell r="M4">
            <v>20</v>
          </cell>
          <cell r="N4">
            <v>0.91200000000000003</v>
          </cell>
          <cell r="O4">
            <v>24.7</v>
          </cell>
        </row>
        <row r="5">
          <cell r="A5" t="str">
            <v>152x152x44+</v>
          </cell>
          <cell r="B5">
            <v>44</v>
          </cell>
          <cell r="C5">
            <v>166</v>
          </cell>
          <cell r="D5">
            <v>155.9</v>
          </cell>
          <cell r="E5">
            <v>9.5</v>
          </cell>
          <cell r="F5">
            <v>13.6</v>
          </cell>
          <cell r="G5">
            <v>7.6</v>
          </cell>
          <cell r="H5">
            <v>123.6</v>
          </cell>
          <cell r="I5">
            <v>4.82</v>
          </cell>
          <cell r="J5">
            <v>13</v>
          </cell>
          <cell r="K5">
            <v>7</v>
          </cell>
          <cell r="L5">
            <v>84</v>
          </cell>
          <cell r="M5">
            <v>22</v>
          </cell>
          <cell r="N5">
            <v>0.92400000000000004</v>
          </cell>
          <cell r="O5">
            <v>21</v>
          </cell>
        </row>
        <row r="6">
          <cell r="A6" t="str">
            <v>152x152x51+</v>
          </cell>
          <cell r="B6">
            <v>51.2</v>
          </cell>
          <cell r="C6">
            <v>170.2</v>
          </cell>
          <cell r="D6">
            <v>157.4</v>
          </cell>
          <cell r="E6">
            <v>11</v>
          </cell>
          <cell r="F6">
            <v>15.7</v>
          </cell>
          <cell r="G6">
            <v>7.6</v>
          </cell>
          <cell r="H6">
            <v>123.6</v>
          </cell>
          <cell r="I6">
            <v>4.18</v>
          </cell>
          <cell r="J6">
            <v>11.2</v>
          </cell>
          <cell r="K6">
            <v>8</v>
          </cell>
          <cell r="L6">
            <v>84</v>
          </cell>
          <cell r="M6">
            <v>24</v>
          </cell>
          <cell r="N6">
            <v>0.93500000000000005</v>
          </cell>
          <cell r="O6">
            <v>18.3</v>
          </cell>
        </row>
        <row r="7">
          <cell r="A7" t="str">
            <v>203x203x46</v>
          </cell>
          <cell r="B7">
            <v>46.1</v>
          </cell>
          <cell r="C7">
            <v>203.2</v>
          </cell>
          <cell r="D7">
            <v>203.6</v>
          </cell>
          <cell r="E7">
            <v>7.2</v>
          </cell>
          <cell r="F7">
            <v>11</v>
          </cell>
          <cell r="G7">
            <v>10.199999999999999</v>
          </cell>
          <cell r="H7">
            <v>160.80000000000001</v>
          </cell>
          <cell r="I7">
            <v>8</v>
          </cell>
          <cell r="J7">
            <v>22.3</v>
          </cell>
          <cell r="K7">
            <v>6</v>
          </cell>
          <cell r="L7">
            <v>110</v>
          </cell>
          <cell r="M7">
            <v>22</v>
          </cell>
          <cell r="N7">
            <v>1.19</v>
          </cell>
          <cell r="O7">
            <v>25.8</v>
          </cell>
        </row>
        <row r="8">
          <cell r="A8" t="str">
            <v>203x203x52</v>
          </cell>
          <cell r="B8">
            <v>52</v>
          </cell>
          <cell r="C8">
            <v>206.2</v>
          </cell>
          <cell r="D8">
            <v>204.3</v>
          </cell>
          <cell r="E8">
            <v>7.9</v>
          </cell>
          <cell r="F8">
            <v>12.5</v>
          </cell>
          <cell r="G8">
            <v>10.199999999999999</v>
          </cell>
          <cell r="H8">
            <v>160.80000000000001</v>
          </cell>
          <cell r="I8">
            <v>7.04</v>
          </cell>
          <cell r="J8">
            <v>20.399999999999999</v>
          </cell>
          <cell r="K8">
            <v>6</v>
          </cell>
          <cell r="L8">
            <v>110</v>
          </cell>
          <cell r="M8">
            <v>24</v>
          </cell>
          <cell r="N8">
            <v>1.2</v>
          </cell>
          <cell r="O8">
            <v>23.1</v>
          </cell>
        </row>
        <row r="9">
          <cell r="A9" t="str">
            <v>203x203x60</v>
          </cell>
          <cell r="B9">
            <v>60</v>
          </cell>
          <cell r="C9">
            <v>209.6</v>
          </cell>
          <cell r="D9">
            <v>205.8</v>
          </cell>
          <cell r="E9">
            <v>9.4</v>
          </cell>
          <cell r="F9">
            <v>14.2</v>
          </cell>
          <cell r="G9">
            <v>10.199999999999999</v>
          </cell>
          <cell r="H9">
            <v>160.80000000000001</v>
          </cell>
          <cell r="I9">
            <v>6.2</v>
          </cell>
          <cell r="J9">
            <v>17.100000000000001</v>
          </cell>
          <cell r="K9">
            <v>7</v>
          </cell>
          <cell r="L9">
            <v>110</v>
          </cell>
          <cell r="M9">
            <v>26</v>
          </cell>
          <cell r="N9">
            <v>1.21</v>
          </cell>
          <cell r="O9">
            <v>20.2</v>
          </cell>
        </row>
        <row r="10">
          <cell r="A10" t="str">
            <v>203x203x71</v>
          </cell>
          <cell r="B10">
            <v>71</v>
          </cell>
          <cell r="C10">
            <v>215.8</v>
          </cell>
          <cell r="D10">
            <v>206.4</v>
          </cell>
          <cell r="E10">
            <v>10</v>
          </cell>
          <cell r="F10">
            <v>17.3</v>
          </cell>
          <cell r="G10">
            <v>10.199999999999999</v>
          </cell>
          <cell r="H10">
            <v>160.80000000000001</v>
          </cell>
          <cell r="I10">
            <v>5.09</v>
          </cell>
          <cell r="J10">
            <v>16.100000000000001</v>
          </cell>
          <cell r="K10">
            <v>7</v>
          </cell>
          <cell r="L10">
            <v>110</v>
          </cell>
          <cell r="M10">
            <v>28</v>
          </cell>
          <cell r="N10">
            <v>1.22</v>
          </cell>
          <cell r="O10">
            <v>17.2</v>
          </cell>
        </row>
        <row r="11">
          <cell r="A11" t="str">
            <v>203x203x86</v>
          </cell>
          <cell r="B11">
            <v>86.1</v>
          </cell>
          <cell r="C11">
            <v>222.2</v>
          </cell>
          <cell r="D11">
            <v>209.1</v>
          </cell>
          <cell r="E11">
            <v>12.7</v>
          </cell>
          <cell r="F11">
            <v>20.5</v>
          </cell>
          <cell r="G11">
            <v>10.199999999999999</v>
          </cell>
          <cell r="H11">
            <v>160.80000000000001</v>
          </cell>
          <cell r="I11">
            <v>4.29</v>
          </cell>
          <cell r="J11">
            <v>12.7</v>
          </cell>
          <cell r="K11">
            <v>8</v>
          </cell>
          <cell r="L11">
            <v>110</v>
          </cell>
          <cell r="M11">
            <v>32</v>
          </cell>
          <cell r="N11">
            <v>1.24</v>
          </cell>
          <cell r="O11">
            <v>14.4</v>
          </cell>
        </row>
        <row r="12">
          <cell r="A12" t="str">
            <v>203x203x100+</v>
          </cell>
          <cell r="B12">
            <v>99.6</v>
          </cell>
          <cell r="C12">
            <v>228.6</v>
          </cell>
          <cell r="D12">
            <v>210.3</v>
          </cell>
          <cell r="E12">
            <v>14.5</v>
          </cell>
          <cell r="F12">
            <v>23.7</v>
          </cell>
          <cell r="G12">
            <v>10.199999999999999</v>
          </cell>
          <cell r="H12">
            <v>160.80000000000001</v>
          </cell>
          <cell r="I12">
            <v>3.7</v>
          </cell>
          <cell r="J12">
            <v>11.1</v>
          </cell>
          <cell r="K12">
            <v>9</v>
          </cell>
          <cell r="L12">
            <v>108</v>
          </cell>
          <cell r="M12">
            <v>34</v>
          </cell>
          <cell r="N12">
            <v>1.25</v>
          </cell>
          <cell r="O12">
            <v>12.6</v>
          </cell>
        </row>
        <row r="13">
          <cell r="A13" t="str">
            <v>203x203x113+</v>
          </cell>
          <cell r="B13">
            <v>113.5</v>
          </cell>
          <cell r="C13">
            <v>235</v>
          </cell>
          <cell r="D13">
            <v>212.1</v>
          </cell>
          <cell r="E13">
            <v>16.3</v>
          </cell>
          <cell r="F13">
            <v>26.9</v>
          </cell>
          <cell r="G13">
            <v>10.199999999999999</v>
          </cell>
          <cell r="H13">
            <v>160.80000000000001</v>
          </cell>
          <cell r="I13">
            <v>3.26</v>
          </cell>
          <cell r="J13">
            <v>9.8699999999999992</v>
          </cell>
          <cell r="K13">
            <v>10</v>
          </cell>
          <cell r="L13">
            <v>108</v>
          </cell>
          <cell r="M13">
            <v>38</v>
          </cell>
          <cell r="N13">
            <v>1.27</v>
          </cell>
          <cell r="O13">
            <v>11.2</v>
          </cell>
        </row>
        <row r="14">
          <cell r="A14" t="str">
            <v>203x203x127+</v>
          </cell>
          <cell r="B14">
            <v>127.5</v>
          </cell>
          <cell r="C14">
            <v>241.4</v>
          </cell>
          <cell r="D14">
            <v>213.9</v>
          </cell>
          <cell r="E14">
            <v>18.100000000000001</v>
          </cell>
          <cell r="F14">
            <v>30.1</v>
          </cell>
          <cell r="G14">
            <v>10.199999999999999</v>
          </cell>
          <cell r="H14">
            <v>160.80000000000001</v>
          </cell>
          <cell r="I14">
            <v>2.91</v>
          </cell>
          <cell r="J14">
            <v>8.8800000000000008</v>
          </cell>
          <cell r="K14">
            <v>11</v>
          </cell>
          <cell r="L14">
            <v>108</v>
          </cell>
          <cell r="M14">
            <v>42</v>
          </cell>
          <cell r="N14">
            <v>1.28</v>
          </cell>
          <cell r="O14">
            <v>10</v>
          </cell>
        </row>
        <row r="15">
          <cell r="A15" t="str">
            <v>254x254x73</v>
          </cell>
          <cell r="B15">
            <v>73.099999999999994</v>
          </cell>
          <cell r="C15">
            <v>254.1</v>
          </cell>
          <cell r="D15">
            <v>254.6</v>
          </cell>
          <cell r="E15">
            <v>8.6</v>
          </cell>
          <cell r="F15">
            <v>14.2</v>
          </cell>
          <cell r="G15">
            <v>12.7</v>
          </cell>
          <cell r="H15">
            <v>200.3</v>
          </cell>
          <cell r="I15">
            <v>7.77</v>
          </cell>
          <cell r="J15">
            <v>23.3</v>
          </cell>
          <cell r="K15">
            <v>6</v>
          </cell>
          <cell r="L15">
            <v>134</v>
          </cell>
          <cell r="M15">
            <v>28</v>
          </cell>
          <cell r="N15">
            <v>1.49</v>
          </cell>
          <cell r="O15">
            <v>20.399999999999999</v>
          </cell>
        </row>
        <row r="16">
          <cell r="A16" t="str">
            <v>254x254x89</v>
          </cell>
          <cell r="B16">
            <v>88.9</v>
          </cell>
          <cell r="C16">
            <v>260.3</v>
          </cell>
          <cell r="D16">
            <v>256.3</v>
          </cell>
          <cell r="E16">
            <v>10.3</v>
          </cell>
          <cell r="F16">
            <v>17.3</v>
          </cell>
          <cell r="G16">
            <v>12.7</v>
          </cell>
          <cell r="H16">
            <v>200.3</v>
          </cell>
          <cell r="I16">
            <v>6.38</v>
          </cell>
          <cell r="J16">
            <v>19.399999999999999</v>
          </cell>
          <cell r="K16">
            <v>7</v>
          </cell>
          <cell r="L16">
            <v>134</v>
          </cell>
          <cell r="M16">
            <v>30</v>
          </cell>
          <cell r="N16">
            <v>1.5</v>
          </cell>
          <cell r="O16">
            <v>16.899999999999999</v>
          </cell>
        </row>
        <row r="17">
          <cell r="A17" t="str">
            <v>254x254x107</v>
          </cell>
          <cell r="B17">
            <v>107.1</v>
          </cell>
          <cell r="C17">
            <v>266.7</v>
          </cell>
          <cell r="D17">
            <v>258.8</v>
          </cell>
          <cell r="E17">
            <v>12.8</v>
          </cell>
          <cell r="F17">
            <v>20.5</v>
          </cell>
          <cell r="G17">
            <v>12.7</v>
          </cell>
          <cell r="H17">
            <v>200.3</v>
          </cell>
          <cell r="I17">
            <v>5.38</v>
          </cell>
          <cell r="J17">
            <v>15.6</v>
          </cell>
          <cell r="K17">
            <v>8</v>
          </cell>
          <cell r="L17">
            <v>134</v>
          </cell>
          <cell r="M17">
            <v>34</v>
          </cell>
          <cell r="N17">
            <v>1.52</v>
          </cell>
          <cell r="O17">
            <v>14.2</v>
          </cell>
        </row>
        <row r="18">
          <cell r="A18" t="str">
            <v>254x254x132</v>
          </cell>
          <cell r="B18">
            <v>132</v>
          </cell>
          <cell r="C18">
            <v>276.3</v>
          </cell>
          <cell r="D18">
            <v>261.3</v>
          </cell>
          <cell r="E18">
            <v>15.3</v>
          </cell>
          <cell r="F18">
            <v>25.3</v>
          </cell>
          <cell r="G18">
            <v>12.7</v>
          </cell>
          <cell r="H18">
            <v>200.3</v>
          </cell>
          <cell r="I18">
            <v>4.3600000000000003</v>
          </cell>
          <cell r="J18">
            <v>13.1</v>
          </cell>
          <cell r="K18">
            <v>10</v>
          </cell>
          <cell r="L18">
            <v>134</v>
          </cell>
          <cell r="M18">
            <v>38</v>
          </cell>
          <cell r="N18">
            <v>1.55</v>
          </cell>
          <cell r="O18">
            <v>11.7</v>
          </cell>
        </row>
        <row r="19">
          <cell r="A19" t="str">
            <v>254x254x167</v>
          </cell>
          <cell r="B19">
            <v>167.1</v>
          </cell>
          <cell r="C19">
            <v>289.10000000000002</v>
          </cell>
          <cell r="D19">
            <v>265.2</v>
          </cell>
          <cell r="E19">
            <v>19.2</v>
          </cell>
          <cell r="F19">
            <v>31.7</v>
          </cell>
          <cell r="G19">
            <v>12.7</v>
          </cell>
          <cell r="H19">
            <v>200.3</v>
          </cell>
          <cell r="I19">
            <v>3.48</v>
          </cell>
          <cell r="J19">
            <v>10.4</v>
          </cell>
          <cell r="K19">
            <v>12</v>
          </cell>
          <cell r="L19">
            <v>134</v>
          </cell>
          <cell r="M19">
            <v>46</v>
          </cell>
          <cell r="N19">
            <v>1.58</v>
          </cell>
          <cell r="O19">
            <v>9.4600000000000009</v>
          </cell>
        </row>
        <row r="20">
          <cell r="A20" t="str">
            <v>305x305x97</v>
          </cell>
          <cell r="B20">
            <v>96.9</v>
          </cell>
          <cell r="C20">
            <v>307.89999999999998</v>
          </cell>
          <cell r="D20">
            <v>305.3</v>
          </cell>
          <cell r="E20">
            <v>9.9</v>
          </cell>
          <cell r="F20">
            <v>15.4</v>
          </cell>
          <cell r="G20">
            <v>15.2</v>
          </cell>
          <cell r="H20">
            <v>246.7</v>
          </cell>
          <cell r="I20">
            <v>8.6</v>
          </cell>
          <cell r="J20">
            <v>24.9</v>
          </cell>
          <cell r="K20">
            <v>7</v>
          </cell>
          <cell r="L20">
            <v>158</v>
          </cell>
          <cell r="M20">
            <v>32</v>
          </cell>
          <cell r="N20">
            <v>1.79</v>
          </cell>
          <cell r="O20">
            <v>18.5</v>
          </cell>
        </row>
        <row r="21">
          <cell r="A21" t="str">
            <v>305x305x118</v>
          </cell>
          <cell r="B21">
            <v>117.9</v>
          </cell>
          <cell r="C21">
            <v>314.5</v>
          </cell>
          <cell r="D21">
            <v>307.39999999999998</v>
          </cell>
          <cell r="E21">
            <v>12</v>
          </cell>
          <cell r="F21">
            <v>18.7</v>
          </cell>
          <cell r="G21">
            <v>15.2</v>
          </cell>
          <cell r="H21">
            <v>246.7</v>
          </cell>
          <cell r="I21">
            <v>7.09</v>
          </cell>
          <cell r="J21">
            <v>20.6</v>
          </cell>
          <cell r="K21">
            <v>8</v>
          </cell>
          <cell r="L21">
            <v>158</v>
          </cell>
          <cell r="M21">
            <v>34</v>
          </cell>
          <cell r="N21">
            <v>1.81</v>
          </cell>
          <cell r="O21">
            <v>15.4</v>
          </cell>
        </row>
        <row r="22">
          <cell r="A22" t="str">
            <v>305x305x137</v>
          </cell>
          <cell r="B22">
            <v>136.9</v>
          </cell>
          <cell r="C22">
            <v>320.5</v>
          </cell>
          <cell r="D22">
            <v>309.2</v>
          </cell>
          <cell r="E22">
            <v>13.8</v>
          </cell>
          <cell r="F22">
            <v>21.7</v>
          </cell>
          <cell r="G22">
            <v>15.2</v>
          </cell>
          <cell r="H22">
            <v>246.7</v>
          </cell>
          <cell r="I22">
            <v>6.11</v>
          </cell>
          <cell r="J22">
            <v>17.899999999999999</v>
          </cell>
          <cell r="K22">
            <v>9</v>
          </cell>
          <cell r="L22">
            <v>158</v>
          </cell>
          <cell r="M22">
            <v>38</v>
          </cell>
          <cell r="N22">
            <v>1.82</v>
          </cell>
          <cell r="O22">
            <v>13.3</v>
          </cell>
        </row>
        <row r="23">
          <cell r="A23" t="str">
            <v>305x305x158</v>
          </cell>
          <cell r="B23">
            <v>158.1</v>
          </cell>
          <cell r="C23">
            <v>327.10000000000002</v>
          </cell>
          <cell r="D23">
            <v>311.2</v>
          </cell>
          <cell r="E23">
            <v>15.8</v>
          </cell>
          <cell r="F23">
            <v>25</v>
          </cell>
          <cell r="G23">
            <v>15.2</v>
          </cell>
          <cell r="H23">
            <v>246.7</v>
          </cell>
          <cell r="I23">
            <v>5.3</v>
          </cell>
          <cell r="J23">
            <v>15.6</v>
          </cell>
          <cell r="K23">
            <v>10</v>
          </cell>
          <cell r="L23">
            <v>158</v>
          </cell>
          <cell r="M23">
            <v>42</v>
          </cell>
          <cell r="N23">
            <v>1.84</v>
          </cell>
          <cell r="O23">
            <v>11.6</v>
          </cell>
        </row>
        <row r="24">
          <cell r="A24" t="str">
            <v>305x305x198</v>
          </cell>
          <cell r="B24">
            <v>198.1</v>
          </cell>
          <cell r="C24">
            <v>339.9</v>
          </cell>
          <cell r="D24">
            <v>314.5</v>
          </cell>
          <cell r="E24">
            <v>19.100000000000001</v>
          </cell>
          <cell r="F24">
            <v>31.4</v>
          </cell>
          <cell r="G24">
            <v>15.2</v>
          </cell>
          <cell r="H24">
            <v>246.7</v>
          </cell>
          <cell r="I24">
            <v>4.22</v>
          </cell>
          <cell r="J24">
            <v>12.9</v>
          </cell>
          <cell r="K24">
            <v>12</v>
          </cell>
          <cell r="L24">
            <v>158</v>
          </cell>
          <cell r="M24">
            <v>48</v>
          </cell>
          <cell r="N24">
            <v>1.87</v>
          </cell>
          <cell r="O24">
            <v>9.44</v>
          </cell>
        </row>
        <row r="25">
          <cell r="A25" t="str">
            <v>305x305x240</v>
          </cell>
          <cell r="B25">
            <v>240</v>
          </cell>
          <cell r="C25">
            <v>352.5</v>
          </cell>
          <cell r="D25">
            <v>318.39999999999998</v>
          </cell>
          <cell r="E25">
            <v>23</v>
          </cell>
          <cell r="F25">
            <v>37.700000000000003</v>
          </cell>
          <cell r="G25">
            <v>15.2</v>
          </cell>
          <cell r="H25">
            <v>246.7</v>
          </cell>
          <cell r="I25">
            <v>3.51</v>
          </cell>
          <cell r="J25">
            <v>10.7</v>
          </cell>
          <cell r="K25">
            <v>14</v>
          </cell>
          <cell r="L25">
            <v>158</v>
          </cell>
          <cell r="M25">
            <v>54</v>
          </cell>
          <cell r="N25">
            <v>1.91</v>
          </cell>
          <cell r="O25">
            <v>7.96</v>
          </cell>
        </row>
        <row r="26">
          <cell r="A26" t="str">
            <v>305x305x283</v>
          </cell>
          <cell r="B26">
            <v>282.89999999999998</v>
          </cell>
          <cell r="C26">
            <v>365.3</v>
          </cell>
          <cell r="D26">
            <v>322.2</v>
          </cell>
          <cell r="E26">
            <v>26.8</v>
          </cell>
          <cell r="F26">
            <v>44.1</v>
          </cell>
          <cell r="G26">
            <v>15.2</v>
          </cell>
          <cell r="H26">
            <v>246.7</v>
          </cell>
          <cell r="I26">
            <v>3</v>
          </cell>
          <cell r="J26">
            <v>9.2100000000000009</v>
          </cell>
          <cell r="K26">
            <v>15</v>
          </cell>
          <cell r="L26">
            <v>158</v>
          </cell>
          <cell r="M26">
            <v>60</v>
          </cell>
          <cell r="N26">
            <v>1.94</v>
          </cell>
          <cell r="O26">
            <v>6.86</v>
          </cell>
        </row>
        <row r="27">
          <cell r="A27" t="str">
            <v>356x368x129</v>
          </cell>
          <cell r="B27">
            <v>129</v>
          </cell>
          <cell r="C27">
            <v>355.6</v>
          </cell>
          <cell r="D27">
            <v>368.6</v>
          </cell>
          <cell r="E27">
            <v>10.4</v>
          </cell>
          <cell r="F27">
            <v>17.5</v>
          </cell>
          <cell r="G27">
            <v>15.2</v>
          </cell>
          <cell r="H27">
            <v>290.2</v>
          </cell>
          <cell r="I27">
            <v>9.4</v>
          </cell>
          <cell r="J27">
            <v>27.9</v>
          </cell>
          <cell r="K27">
            <v>7</v>
          </cell>
          <cell r="L27">
            <v>190</v>
          </cell>
          <cell r="M27">
            <v>34</v>
          </cell>
          <cell r="N27">
            <v>2.14</v>
          </cell>
          <cell r="O27">
            <v>16.600000000000001</v>
          </cell>
        </row>
        <row r="28">
          <cell r="A28" t="str">
            <v>356x368x153</v>
          </cell>
          <cell r="B28">
            <v>152.9</v>
          </cell>
          <cell r="C28">
            <v>362</v>
          </cell>
          <cell r="D28">
            <v>370.5</v>
          </cell>
          <cell r="E28">
            <v>12.3</v>
          </cell>
          <cell r="F28">
            <v>20.7</v>
          </cell>
          <cell r="G28">
            <v>15.2</v>
          </cell>
          <cell r="H28">
            <v>290.2</v>
          </cell>
          <cell r="I28">
            <v>7.92</v>
          </cell>
          <cell r="J28">
            <v>23.6</v>
          </cell>
          <cell r="K28">
            <v>8</v>
          </cell>
          <cell r="L28">
            <v>190</v>
          </cell>
          <cell r="M28">
            <v>36</v>
          </cell>
          <cell r="N28">
            <v>2.16</v>
          </cell>
          <cell r="O28">
            <v>14.1</v>
          </cell>
        </row>
        <row r="29">
          <cell r="A29" t="str">
            <v>356x368x177</v>
          </cell>
          <cell r="B29">
            <v>177</v>
          </cell>
          <cell r="C29">
            <v>368.2</v>
          </cell>
          <cell r="D29">
            <v>372.6</v>
          </cell>
          <cell r="E29">
            <v>14.4</v>
          </cell>
          <cell r="F29">
            <v>23.8</v>
          </cell>
          <cell r="G29">
            <v>15.2</v>
          </cell>
          <cell r="H29">
            <v>290.2</v>
          </cell>
          <cell r="I29">
            <v>6.89</v>
          </cell>
          <cell r="J29">
            <v>20.2</v>
          </cell>
          <cell r="K29">
            <v>9</v>
          </cell>
          <cell r="L29">
            <v>190</v>
          </cell>
          <cell r="M29">
            <v>40</v>
          </cell>
          <cell r="N29">
            <v>2.17</v>
          </cell>
          <cell r="O29">
            <v>12.3</v>
          </cell>
        </row>
        <row r="30">
          <cell r="A30" t="str">
            <v>356x368x202</v>
          </cell>
          <cell r="B30">
            <v>201.9</v>
          </cell>
          <cell r="C30">
            <v>374.6</v>
          </cell>
          <cell r="D30">
            <v>374.7</v>
          </cell>
          <cell r="E30">
            <v>16.5</v>
          </cell>
          <cell r="F30">
            <v>27</v>
          </cell>
          <cell r="G30">
            <v>15.2</v>
          </cell>
          <cell r="H30">
            <v>290.2</v>
          </cell>
          <cell r="I30">
            <v>6.07</v>
          </cell>
          <cell r="J30">
            <v>17.600000000000001</v>
          </cell>
          <cell r="K30">
            <v>10</v>
          </cell>
          <cell r="L30">
            <v>190</v>
          </cell>
          <cell r="M30">
            <v>44</v>
          </cell>
          <cell r="N30">
            <v>2.19</v>
          </cell>
          <cell r="O30">
            <v>10.8</v>
          </cell>
        </row>
        <row r="31">
          <cell r="A31" t="str">
            <v>356x406x235</v>
          </cell>
          <cell r="B31">
            <v>235.1</v>
          </cell>
          <cell r="C31">
            <v>381</v>
          </cell>
          <cell r="D31">
            <v>394.8</v>
          </cell>
          <cell r="E31">
            <v>18.399999999999999</v>
          </cell>
          <cell r="F31">
            <v>30.2</v>
          </cell>
          <cell r="G31">
            <v>15.2</v>
          </cell>
          <cell r="H31">
            <v>290.2</v>
          </cell>
          <cell r="I31">
            <v>5.73</v>
          </cell>
          <cell r="J31">
            <v>15.8</v>
          </cell>
          <cell r="K31">
            <v>11</v>
          </cell>
          <cell r="L31">
            <v>200</v>
          </cell>
          <cell r="M31">
            <v>46</v>
          </cell>
          <cell r="N31">
            <v>2.2799999999999998</v>
          </cell>
          <cell r="O31">
            <v>9.6999999999999993</v>
          </cell>
        </row>
        <row r="32">
          <cell r="A32" t="str">
            <v>356x406x287</v>
          </cell>
          <cell r="B32">
            <v>287.10000000000002</v>
          </cell>
          <cell r="C32">
            <v>393.6</v>
          </cell>
          <cell r="D32">
            <v>399</v>
          </cell>
          <cell r="E32">
            <v>22.6</v>
          </cell>
          <cell r="F32">
            <v>36.5</v>
          </cell>
          <cell r="G32">
            <v>15.2</v>
          </cell>
          <cell r="H32">
            <v>290.2</v>
          </cell>
          <cell r="I32">
            <v>4.74</v>
          </cell>
          <cell r="J32">
            <v>12.8</v>
          </cell>
          <cell r="K32">
            <v>13</v>
          </cell>
          <cell r="L32">
            <v>200</v>
          </cell>
          <cell r="M32">
            <v>52</v>
          </cell>
          <cell r="N32">
            <v>2.31</v>
          </cell>
          <cell r="O32">
            <v>8.0500000000000007</v>
          </cell>
        </row>
        <row r="33">
          <cell r="A33" t="str">
            <v>356x406x340</v>
          </cell>
          <cell r="B33">
            <v>339.9</v>
          </cell>
          <cell r="C33">
            <v>406.4</v>
          </cell>
          <cell r="D33">
            <v>403</v>
          </cell>
          <cell r="E33">
            <v>26.6</v>
          </cell>
          <cell r="F33">
            <v>42.9</v>
          </cell>
          <cell r="G33">
            <v>15.2</v>
          </cell>
          <cell r="H33">
            <v>290.2</v>
          </cell>
          <cell r="I33">
            <v>4.03</v>
          </cell>
          <cell r="J33">
            <v>10.9</v>
          </cell>
          <cell r="K33">
            <v>15</v>
          </cell>
          <cell r="L33">
            <v>200</v>
          </cell>
          <cell r="M33">
            <v>60</v>
          </cell>
          <cell r="N33">
            <v>2.35</v>
          </cell>
          <cell r="O33">
            <v>6.91</v>
          </cell>
        </row>
        <row r="34">
          <cell r="A34" t="str">
            <v>356x406x393</v>
          </cell>
          <cell r="B34">
            <v>393</v>
          </cell>
          <cell r="C34">
            <v>419</v>
          </cell>
          <cell r="D34">
            <v>407</v>
          </cell>
          <cell r="E34">
            <v>30.6</v>
          </cell>
          <cell r="F34">
            <v>49.2</v>
          </cell>
          <cell r="G34">
            <v>15.2</v>
          </cell>
          <cell r="H34">
            <v>290.2</v>
          </cell>
          <cell r="I34">
            <v>3.52</v>
          </cell>
          <cell r="J34">
            <v>9.48</v>
          </cell>
          <cell r="K34">
            <v>17</v>
          </cell>
          <cell r="L34">
            <v>200</v>
          </cell>
          <cell r="M34">
            <v>66</v>
          </cell>
          <cell r="N34">
            <v>2.38</v>
          </cell>
          <cell r="O34">
            <v>6.06</v>
          </cell>
        </row>
        <row r="35">
          <cell r="A35" t="str">
            <v>356x406x467</v>
          </cell>
          <cell r="B35">
            <v>467</v>
          </cell>
          <cell r="C35">
            <v>436.6</v>
          </cell>
          <cell r="D35">
            <v>412.2</v>
          </cell>
          <cell r="E35">
            <v>35.799999999999997</v>
          </cell>
          <cell r="F35">
            <v>58</v>
          </cell>
          <cell r="G35">
            <v>15.2</v>
          </cell>
          <cell r="H35">
            <v>290.2</v>
          </cell>
          <cell r="I35">
            <v>2.98</v>
          </cell>
          <cell r="J35">
            <v>8.11</v>
          </cell>
          <cell r="K35">
            <v>20</v>
          </cell>
          <cell r="L35">
            <v>200</v>
          </cell>
          <cell r="M35">
            <v>74</v>
          </cell>
          <cell r="N35">
            <v>2.42</v>
          </cell>
          <cell r="O35">
            <v>5.18</v>
          </cell>
        </row>
        <row r="36">
          <cell r="A36" t="str">
            <v>356x406x551</v>
          </cell>
          <cell r="B36">
            <v>551</v>
          </cell>
          <cell r="C36">
            <v>455.6</v>
          </cell>
          <cell r="D36">
            <v>418.5</v>
          </cell>
          <cell r="E36">
            <v>42.1</v>
          </cell>
          <cell r="F36">
            <v>67.5</v>
          </cell>
          <cell r="G36">
            <v>15.2</v>
          </cell>
          <cell r="H36">
            <v>290.2</v>
          </cell>
          <cell r="I36">
            <v>2.56</v>
          </cell>
          <cell r="J36">
            <v>6.89</v>
          </cell>
          <cell r="K36">
            <v>23</v>
          </cell>
          <cell r="L36">
            <v>200</v>
          </cell>
          <cell r="M36">
            <v>84</v>
          </cell>
          <cell r="N36">
            <v>2.4700000000000002</v>
          </cell>
          <cell r="O36">
            <v>4.4800000000000004</v>
          </cell>
        </row>
        <row r="37">
          <cell r="A37" t="str">
            <v>356x406x634</v>
          </cell>
          <cell r="B37">
            <v>633.9</v>
          </cell>
          <cell r="C37">
            <v>474.6</v>
          </cell>
          <cell r="D37">
            <v>424</v>
          </cell>
          <cell r="E37">
            <v>47.6</v>
          </cell>
          <cell r="F37">
            <v>77</v>
          </cell>
          <cell r="G37">
            <v>15.2</v>
          </cell>
          <cell r="H37">
            <v>290.2</v>
          </cell>
          <cell r="I37">
            <v>2.25</v>
          </cell>
          <cell r="J37">
            <v>6.1</v>
          </cell>
          <cell r="K37">
            <v>26</v>
          </cell>
          <cell r="L37">
            <v>200</v>
          </cell>
          <cell r="M37">
            <v>94</v>
          </cell>
          <cell r="N37">
            <v>2.52</v>
          </cell>
          <cell r="O37">
            <v>3.98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37"/>
  <sheetViews>
    <sheetView tabSelected="1" workbookViewId="0">
      <selection sqref="A1:O1"/>
    </sheetView>
  </sheetViews>
  <sheetFormatPr baseColWidth="10" defaultColWidth="12.6640625" defaultRowHeight="15.75" customHeight="1" x14ac:dyDescent="0.15"/>
  <sheetData>
    <row r="1" spans="1:1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</row>
    <row r="2" spans="1:19" x14ac:dyDescent="0.15">
      <c r="A2" s="1" t="s">
        <v>43</v>
      </c>
      <c r="B2" s="1">
        <v>1250</v>
      </c>
      <c r="C2" s="1">
        <v>400</v>
      </c>
      <c r="D2" s="1">
        <v>6.54</v>
      </c>
      <c r="E2" s="1">
        <v>3.7</v>
      </c>
      <c r="F2" s="1">
        <v>164</v>
      </c>
      <c r="G2" s="1">
        <v>52.6</v>
      </c>
      <c r="H2" s="1">
        <v>182</v>
      </c>
      <c r="I2" s="1">
        <v>80.099999999999994</v>
      </c>
      <c r="J2" s="1">
        <v>0.84</v>
      </c>
      <c r="K2" s="1">
        <v>20.7</v>
      </c>
      <c r="L2" s="1">
        <v>2.1000000000000001E-2</v>
      </c>
      <c r="M2" s="1">
        <v>4.63</v>
      </c>
      <c r="N2" s="1">
        <v>2920</v>
      </c>
      <c r="O2">
        <f>VLOOKUP(A2,'[1]Structural Steel Section Proper'!$A$1:$O$37,5,FALSE)</f>
        <v>5.8</v>
      </c>
      <c r="P2">
        <f>VLOOKUP(A2,'[1]Structural Steel Section Proper'!$A$1:$O$37,3,FALSE)</f>
        <v>152.4</v>
      </c>
      <c r="Q2">
        <f>VLOOKUP(A2,'[1]Structural Steel Section Proper'!$A$1:$O$37,6,FALSE)</f>
        <v>6.8</v>
      </c>
      <c r="S2">
        <f>VLOOKUP(A2,'[1]Structural Steel Section Proper'!$A$1:$O$37,4,FALSE)</f>
        <v>152.19999999999999</v>
      </c>
    </row>
    <row r="3" spans="1:19" x14ac:dyDescent="0.15">
      <c r="A3" s="1" t="s">
        <v>42</v>
      </c>
      <c r="B3" s="1">
        <v>1750</v>
      </c>
      <c r="C3" s="1">
        <v>560</v>
      </c>
      <c r="D3" s="1">
        <v>6.76</v>
      </c>
      <c r="E3" s="1">
        <v>3.83</v>
      </c>
      <c r="F3" s="1">
        <v>222</v>
      </c>
      <c r="G3" s="1">
        <v>73.3</v>
      </c>
      <c r="H3" s="1">
        <v>248</v>
      </c>
      <c r="I3" s="1">
        <v>112</v>
      </c>
      <c r="J3" s="1">
        <v>0.84899999999999998</v>
      </c>
      <c r="K3" s="1">
        <v>16</v>
      </c>
      <c r="L3" s="1">
        <v>3.1E-2</v>
      </c>
      <c r="M3" s="1">
        <v>10.5</v>
      </c>
      <c r="N3" s="1">
        <v>3829.9999999999995</v>
      </c>
      <c r="O3">
        <f>VLOOKUP(A3,'[1]Structural Steel Section Proper'!$A$1:$O$37,5,FALSE)</f>
        <v>6.5</v>
      </c>
      <c r="P3">
        <f>VLOOKUP(A3,'[1]Structural Steel Section Proper'!$A$1:$O$37,3,FALSE)</f>
        <v>157.6</v>
      </c>
      <c r="Q3">
        <f>VLOOKUP(A3,'[1]Structural Steel Section Proper'!$A$1:$O$37,6,FALSE)</f>
        <v>9.4</v>
      </c>
      <c r="S3">
        <f>VLOOKUP(A3,'[1]Structural Steel Section Proper'!$A$1:$O$37,4,FALSE)</f>
        <v>152.9</v>
      </c>
    </row>
    <row r="4" spans="1:19" x14ac:dyDescent="0.15">
      <c r="A4" s="1" t="s">
        <v>41</v>
      </c>
      <c r="B4" s="1">
        <v>2210</v>
      </c>
      <c r="C4" s="1">
        <v>706</v>
      </c>
      <c r="D4" s="1">
        <v>6.85</v>
      </c>
      <c r="E4" s="1">
        <v>3.87</v>
      </c>
      <c r="F4" s="1">
        <v>273</v>
      </c>
      <c r="G4" s="1">
        <v>91.5</v>
      </c>
      <c r="H4" s="1">
        <v>309</v>
      </c>
      <c r="I4" s="1">
        <v>140</v>
      </c>
      <c r="J4" s="1">
        <v>0.84799999999999998</v>
      </c>
      <c r="K4" s="1">
        <v>13.3</v>
      </c>
      <c r="L4" s="1">
        <v>0.04</v>
      </c>
      <c r="M4" s="1">
        <v>19.2</v>
      </c>
      <c r="N4" s="1">
        <v>4710</v>
      </c>
      <c r="O4">
        <f>VLOOKUP(A4,'[1]Structural Steel Section Proper'!$A$1:$O$37,5,FALSE)</f>
        <v>8</v>
      </c>
      <c r="P4">
        <f>VLOOKUP(A4,'[1]Structural Steel Section Proper'!$A$1:$O$37,3,FALSE)</f>
        <v>161.80000000000001</v>
      </c>
      <c r="Q4">
        <f>VLOOKUP(A4,'[1]Structural Steel Section Proper'!$A$1:$O$37,6,FALSE)</f>
        <v>11.5</v>
      </c>
      <c r="S4">
        <f>VLOOKUP(A4,'[1]Structural Steel Section Proper'!$A$1:$O$37,4,FALSE)</f>
        <v>154.4</v>
      </c>
    </row>
    <row r="5" spans="1:19" x14ac:dyDescent="0.15">
      <c r="A5" s="1" t="s">
        <v>54</v>
      </c>
      <c r="B5" s="1">
        <v>2700</v>
      </c>
      <c r="C5" s="1">
        <v>860</v>
      </c>
      <c r="D5" s="1">
        <v>6.94</v>
      </c>
      <c r="E5" s="1">
        <v>3.92</v>
      </c>
      <c r="F5" s="1">
        <v>326</v>
      </c>
      <c r="G5" s="1">
        <v>110</v>
      </c>
      <c r="H5" s="1">
        <v>372</v>
      </c>
      <c r="I5" s="1">
        <v>169</v>
      </c>
      <c r="J5" s="1">
        <v>0.84799999999999998</v>
      </c>
      <c r="K5" s="1">
        <v>11.5</v>
      </c>
      <c r="L5" s="1">
        <v>0.05</v>
      </c>
      <c r="M5" s="1">
        <v>31.7</v>
      </c>
      <c r="N5" s="1">
        <v>5610</v>
      </c>
      <c r="O5">
        <f>VLOOKUP(A5,'[1]Structural Steel Section Proper'!$A$1:$O$37,5,FALSE)</f>
        <v>9.5</v>
      </c>
      <c r="P5">
        <f>VLOOKUP(A5,'[1]Structural Steel Section Proper'!$A$1:$O$37,3,FALSE)</f>
        <v>166</v>
      </c>
      <c r="Q5">
        <f>VLOOKUP(A5,'[1]Structural Steel Section Proper'!$A$1:$O$37,6,FALSE)</f>
        <v>13.6</v>
      </c>
      <c r="S5">
        <f>VLOOKUP(A5,'[1]Structural Steel Section Proper'!$A$1:$O$37,4,FALSE)</f>
        <v>155.9</v>
      </c>
    </row>
    <row r="6" spans="1:19" x14ac:dyDescent="0.15">
      <c r="A6" s="1" t="s">
        <v>40</v>
      </c>
      <c r="B6" s="1">
        <v>4570</v>
      </c>
      <c r="C6" s="1">
        <v>1550</v>
      </c>
      <c r="D6" s="1">
        <v>8.82</v>
      </c>
      <c r="E6" s="1">
        <v>5.13</v>
      </c>
      <c r="F6" s="1">
        <v>450</v>
      </c>
      <c r="G6" s="1">
        <v>152</v>
      </c>
      <c r="H6" s="1">
        <v>497</v>
      </c>
      <c r="I6" s="1">
        <v>231</v>
      </c>
      <c r="J6" s="1">
        <v>0.84699999999999998</v>
      </c>
      <c r="K6" s="1">
        <v>17.7</v>
      </c>
      <c r="L6" s="1">
        <v>0.14299999999999999</v>
      </c>
      <c r="M6" s="1">
        <v>22.2</v>
      </c>
      <c r="N6" s="1">
        <v>5870</v>
      </c>
      <c r="O6">
        <f>VLOOKUP(A6,'[1]Structural Steel Section Proper'!$A$1:$O$37,5,FALSE)</f>
        <v>7.2</v>
      </c>
      <c r="P6">
        <f>VLOOKUP(A6,'[1]Structural Steel Section Proper'!$A$1:$O$37,3,FALSE)</f>
        <v>203.2</v>
      </c>
      <c r="Q6">
        <f>VLOOKUP(A6,'[1]Structural Steel Section Proper'!$A$1:$O$37,6,FALSE)</f>
        <v>11</v>
      </c>
      <c r="S6">
        <f>VLOOKUP(A6,'[1]Structural Steel Section Proper'!$A$1:$O$37,4,FALSE)</f>
        <v>203.6</v>
      </c>
    </row>
    <row r="7" spans="1:19" x14ac:dyDescent="0.15">
      <c r="A7" s="1" t="s">
        <v>53</v>
      </c>
      <c r="B7" s="1">
        <v>3230</v>
      </c>
      <c r="C7" s="1">
        <v>1020</v>
      </c>
      <c r="D7" s="1">
        <v>7.04</v>
      </c>
      <c r="E7" s="1">
        <v>3.96</v>
      </c>
      <c r="F7" s="1">
        <v>379</v>
      </c>
      <c r="G7" s="1">
        <v>130</v>
      </c>
      <c r="H7" s="1">
        <v>438</v>
      </c>
      <c r="I7" s="1">
        <v>199</v>
      </c>
      <c r="J7" s="1">
        <v>0.84799999999999998</v>
      </c>
      <c r="K7" s="1">
        <v>10.1</v>
      </c>
      <c r="L7" s="1">
        <v>6.0999999999999999E-2</v>
      </c>
      <c r="M7" s="1">
        <v>48.8</v>
      </c>
      <c r="N7" s="1">
        <v>6520</v>
      </c>
      <c r="O7">
        <f>VLOOKUP(A7,'[1]Structural Steel Section Proper'!$A$1:$O$37,5,FALSE)</f>
        <v>11</v>
      </c>
      <c r="P7">
        <f>VLOOKUP(A7,'[1]Structural Steel Section Proper'!$A$1:$O$37,3,FALSE)</f>
        <v>170.2</v>
      </c>
      <c r="Q7">
        <f>VLOOKUP(A7,'[1]Structural Steel Section Proper'!$A$1:$O$37,6,FALSE)</f>
        <v>15.7</v>
      </c>
      <c r="S7">
        <f>VLOOKUP(A7,'[1]Structural Steel Section Proper'!$A$1:$O$37,4,FALSE)</f>
        <v>157.4</v>
      </c>
    </row>
    <row r="8" spans="1:19" x14ac:dyDescent="0.15">
      <c r="A8" s="1" t="s">
        <v>39</v>
      </c>
      <c r="B8" s="1">
        <v>5260</v>
      </c>
      <c r="C8" s="1">
        <v>1780</v>
      </c>
      <c r="D8" s="1">
        <v>8.91</v>
      </c>
      <c r="E8" s="1">
        <v>5.18</v>
      </c>
      <c r="F8" s="1">
        <v>510</v>
      </c>
      <c r="G8" s="1">
        <v>174</v>
      </c>
      <c r="H8" s="1">
        <v>567</v>
      </c>
      <c r="I8" s="1">
        <v>264</v>
      </c>
      <c r="J8" s="1">
        <v>0.84799999999999998</v>
      </c>
      <c r="K8" s="1">
        <v>15.8</v>
      </c>
      <c r="L8" s="1">
        <v>0.16700000000000001</v>
      </c>
      <c r="M8" s="1">
        <v>31.8</v>
      </c>
      <c r="N8" s="1">
        <v>6630</v>
      </c>
      <c r="O8">
        <f>VLOOKUP(A8,'[1]Structural Steel Section Proper'!$A$1:$O$37,5,FALSE)</f>
        <v>7.9</v>
      </c>
      <c r="P8">
        <f>VLOOKUP(A8,'[1]Structural Steel Section Proper'!$A$1:$O$37,3,FALSE)</f>
        <v>206.2</v>
      </c>
      <c r="Q8">
        <f>VLOOKUP(A8,'[1]Structural Steel Section Proper'!$A$1:$O$37,6,FALSE)</f>
        <v>12.5</v>
      </c>
      <c r="S8">
        <f>VLOOKUP(A8,'[1]Structural Steel Section Proper'!$A$1:$O$37,4,FALSE)</f>
        <v>204.3</v>
      </c>
    </row>
    <row r="9" spans="1:19" x14ac:dyDescent="0.15">
      <c r="A9" s="1" t="s">
        <v>38</v>
      </c>
      <c r="B9" s="1">
        <v>6120</v>
      </c>
      <c r="C9" s="1">
        <v>2060</v>
      </c>
      <c r="D9" s="1">
        <v>8.9600000000000009</v>
      </c>
      <c r="E9" s="1">
        <v>5.2</v>
      </c>
      <c r="F9" s="1">
        <v>584</v>
      </c>
      <c r="G9" s="1">
        <v>201</v>
      </c>
      <c r="H9" s="1">
        <v>656</v>
      </c>
      <c r="I9" s="1">
        <v>305</v>
      </c>
      <c r="J9" s="1">
        <v>0.84599999999999997</v>
      </c>
      <c r="K9" s="1">
        <v>14.1</v>
      </c>
      <c r="L9" s="1">
        <v>0.19700000000000001</v>
      </c>
      <c r="M9" s="1">
        <v>47.2</v>
      </c>
      <c r="N9" s="1">
        <v>7640.0000000000009</v>
      </c>
      <c r="O9">
        <f>VLOOKUP(A9,'[1]Structural Steel Section Proper'!$A$1:$O$37,5,FALSE)</f>
        <v>9.4</v>
      </c>
      <c r="P9">
        <f>VLOOKUP(A9,'[1]Structural Steel Section Proper'!$A$1:$O$37,3,FALSE)</f>
        <v>209.6</v>
      </c>
      <c r="Q9">
        <f>VLOOKUP(A9,'[1]Structural Steel Section Proper'!$A$1:$O$37,6,FALSE)</f>
        <v>14.2</v>
      </c>
      <c r="S9">
        <f>VLOOKUP(A9,'[1]Structural Steel Section Proper'!$A$1:$O$37,4,FALSE)</f>
        <v>205.8</v>
      </c>
    </row>
    <row r="10" spans="1:19" x14ac:dyDescent="0.15">
      <c r="A10" s="1" t="s">
        <v>37</v>
      </c>
      <c r="B10" s="1">
        <v>7620</v>
      </c>
      <c r="C10" s="1">
        <v>2540</v>
      </c>
      <c r="D10" s="1">
        <v>9.18</v>
      </c>
      <c r="E10" s="1">
        <v>5.3</v>
      </c>
      <c r="F10" s="1">
        <v>706</v>
      </c>
      <c r="G10" s="1">
        <v>246</v>
      </c>
      <c r="H10" s="1">
        <v>799</v>
      </c>
      <c r="I10" s="1">
        <v>374</v>
      </c>
      <c r="J10" s="1">
        <v>0.85299999999999998</v>
      </c>
      <c r="K10" s="1">
        <v>11.9</v>
      </c>
      <c r="L10" s="1">
        <v>0.25</v>
      </c>
      <c r="M10" s="1">
        <v>80.2</v>
      </c>
      <c r="N10" s="1">
        <v>9040</v>
      </c>
      <c r="O10">
        <f>VLOOKUP(A10,'[1]Structural Steel Section Proper'!$A$1:$O$37,5,FALSE)</f>
        <v>10</v>
      </c>
      <c r="P10">
        <f>VLOOKUP(A10,'[1]Structural Steel Section Proper'!$A$1:$O$37,3,FALSE)</f>
        <v>215.8</v>
      </c>
      <c r="Q10">
        <f>VLOOKUP(A10,'[1]Structural Steel Section Proper'!$A$1:$O$37,6,FALSE)</f>
        <v>17.3</v>
      </c>
      <c r="S10">
        <f>VLOOKUP(A10,'[1]Structural Steel Section Proper'!$A$1:$O$37,4,FALSE)</f>
        <v>206.4</v>
      </c>
    </row>
    <row r="11" spans="1:19" x14ac:dyDescent="0.15">
      <c r="A11" s="1" t="s">
        <v>35</v>
      </c>
      <c r="B11" s="1">
        <v>11400</v>
      </c>
      <c r="C11" s="1">
        <v>3910</v>
      </c>
      <c r="D11" s="1">
        <v>11.1</v>
      </c>
      <c r="E11" s="1">
        <v>6.48</v>
      </c>
      <c r="F11" s="1">
        <v>898</v>
      </c>
      <c r="G11" s="1">
        <v>307</v>
      </c>
      <c r="H11" s="1">
        <v>992</v>
      </c>
      <c r="I11" s="1">
        <v>465</v>
      </c>
      <c r="J11" s="1">
        <v>0.84899999999999998</v>
      </c>
      <c r="K11" s="1">
        <v>17.239999999999998</v>
      </c>
      <c r="L11" s="1">
        <v>0.56200000000000006</v>
      </c>
      <c r="M11" s="1">
        <v>57.6</v>
      </c>
      <c r="N11" s="1">
        <v>9310</v>
      </c>
      <c r="O11">
        <f>VLOOKUP(A11,'[1]Structural Steel Section Proper'!$A$1:$O$37,5,FALSE)</f>
        <v>8.6</v>
      </c>
      <c r="P11">
        <f>VLOOKUP(A11,'[1]Structural Steel Section Proper'!$A$1:$O$37,3,FALSE)</f>
        <v>254.1</v>
      </c>
      <c r="Q11">
        <f>VLOOKUP(A11,'[1]Structural Steel Section Proper'!$A$1:$O$37,6,FALSE)</f>
        <v>14.2</v>
      </c>
      <c r="S11">
        <f>VLOOKUP(A11,'[1]Structural Steel Section Proper'!$A$1:$O$37,4,FALSE)</f>
        <v>254.6</v>
      </c>
    </row>
    <row r="12" spans="1:19" x14ac:dyDescent="0.15">
      <c r="A12" s="1" t="s">
        <v>36</v>
      </c>
      <c r="B12" s="1">
        <v>9450</v>
      </c>
      <c r="C12" s="1">
        <v>3130</v>
      </c>
      <c r="D12" s="1">
        <v>9.2799999999999994</v>
      </c>
      <c r="E12" s="1">
        <v>5.34</v>
      </c>
      <c r="F12" s="1">
        <v>850</v>
      </c>
      <c r="G12" s="1">
        <v>299</v>
      </c>
      <c r="H12" s="1">
        <v>977</v>
      </c>
      <c r="I12" s="1">
        <v>456</v>
      </c>
      <c r="J12" s="1">
        <v>0.85</v>
      </c>
      <c r="K12" s="1">
        <v>10.199999999999999</v>
      </c>
      <c r="L12" s="1">
        <v>0.318</v>
      </c>
      <c r="M12" s="1">
        <v>137</v>
      </c>
      <c r="N12" s="1">
        <v>11000</v>
      </c>
      <c r="O12">
        <f>VLOOKUP(A12,'[1]Structural Steel Section Proper'!$A$1:$O$37,5,FALSE)</f>
        <v>12.7</v>
      </c>
      <c r="P12">
        <f>VLOOKUP(A12,'[1]Structural Steel Section Proper'!$A$1:$O$37,3,FALSE)</f>
        <v>222.2</v>
      </c>
      <c r="Q12">
        <f>VLOOKUP(A12,'[1]Structural Steel Section Proper'!$A$1:$O$37,6,FALSE)</f>
        <v>20.5</v>
      </c>
      <c r="S12">
        <f>VLOOKUP(A12,'[1]Structural Steel Section Proper'!$A$1:$O$37,4,FALSE)</f>
        <v>209.1</v>
      </c>
    </row>
    <row r="13" spans="1:19" x14ac:dyDescent="0.15">
      <c r="A13" s="1" t="s">
        <v>34</v>
      </c>
      <c r="B13" s="1">
        <v>14300</v>
      </c>
      <c r="C13" s="1">
        <v>4860</v>
      </c>
      <c r="D13" s="1">
        <v>11.2</v>
      </c>
      <c r="E13" s="1">
        <v>6.55</v>
      </c>
      <c r="F13" s="1">
        <v>1100</v>
      </c>
      <c r="G13" s="1">
        <v>379</v>
      </c>
      <c r="H13" s="1">
        <v>1220</v>
      </c>
      <c r="I13" s="1">
        <v>575</v>
      </c>
      <c r="J13" s="1">
        <v>0.85</v>
      </c>
      <c r="K13" s="1">
        <v>14.46</v>
      </c>
      <c r="L13" s="1">
        <v>0.71699999999999997</v>
      </c>
      <c r="M13" s="1">
        <v>102</v>
      </c>
      <c r="N13" s="1">
        <v>11300</v>
      </c>
      <c r="O13">
        <f>VLOOKUP(A13,'[1]Structural Steel Section Proper'!$A$1:$O$37,5,FALSE)</f>
        <v>10.3</v>
      </c>
      <c r="P13">
        <f>VLOOKUP(A13,'[1]Structural Steel Section Proper'!$A$1:$O$37,3,FALSE)</f>
        <v>260.3</v>
      </c>
      <c r="Q13">
        <f>VLOOKUP(A13,'[1]Structural Steel Section Proper'!$A$1:$O$37,6,FALSE)</f>
        <v>17.3</v>
      </c>
      <c r="S13">
        <f>VLOOKUP(A13,'[1]Structural Steel Section Proper'!$A$1:$O$37,4,FALSE)</f>
        <v>256.3</v>
      </c>
    </row>
    <row r="14" spans="1:19" x14ac:dyDescent="0.15">
      <c r="A14" s="1" t="s">
        <v>30</v>
      </c>
      <c r="B14" s="1">
        <v>22200</v>
      </c>
      <c r="C14" s="1">
        <v>7310</v>
      </c>
      <c r="D14" s="1">
        <v>13.4</v>
      </c>
      <c r="E14" s="1">
        <v>7.69</v>
      </c>
      <c r="F14" s="1">
        <v>1450</v>
      </c>
      <c r="G14" s="1">
        <v>479</v>
      </c>
      <c r="H14" s="1">
        <v>1590</v>
      </c>
      <c r="I14" s="1">
        <v>726</v>
      </c>
      <c r="J14" s="1">
        <v>0.85</v>
      </c>
      <c r="K14" s="1">
        <v>19.190000000000001</v>
      </c>
      <c r="L14" s="1">
        <v>1.56</v>
      </c>
      <c r="M14" s="1">
        <v>91.2</v>
      </c>
      <c r="N14" s="1">
        <v>12300</v>
      </c>
      <c r="O14">
        <f>VLOOKUP(A14,'[1]Structural Steel Section Proper'!$A$1:$O$37,5,FALSE)</f>
        <v>9.9</v>
      </c>
      <c r="P14">
        <f>VLOOKUP(A14,'[1]Structural Steel Section Proper'!$A$1:$O$37,3,FALSE)</f>
        <v>307.89999999999998</v>
      </c>
      <c r="Q14">
        <f>VLOOKUP(A14,'[1]Structural Steel Section Proper'!$A$1:$O$37,6,FALSE)</f>
        <v>15.4</v>
      </c>
      <c r="S14">
        <f>VLOOKUP(A14,'[1]Structural Steel Section Proper'!$A$1:$O$37,4,FALSE)</f>
        <v>305.3</v>
      </c>
    </row>
    <row r="15" spans="1:19" x14ac:dyDescent="0.15">
      <c r="A15" s="1" t="s">
        <v>52</v>
      </c>
      <c r="B15" s="1">
        <v>11300</v>
      </c>
      <c r="C15" s="1">
        <v>3680</v>
      </c>
      <c r="D15" s="1">
        <v>9.44</v>
      </c>
      <c r="E15" s="1">
        <v>5.39</v>
      </c>
      <c r="F15" s="1">
        <v>988</v>
      </c>
      <c r="G15" s="1">
        <v>350</v>
      </c>
      <c r="H15" s="1">
        <v>1150</v>
      </c>
      <c r="I15" s="1">
        <v>534</v>
      </c>
      <c r="J15" s="1">
        <v>0.85199999999999998</v>
      </c>
      <c r="K15" s="1">
        <v>9.02</v>
      </c>
      <c r="L15" s="1">
        <v>0.38600000000000001</v>
      </c>
      <c r="M15" s="1">
        <v>210</v>
      </c>
      <c r="N15" s="1">
        <v>12700</v>
      </c>
      <c r="O15">
        <f>VLOOKUP(A15,'[1]Structural Steel Section Proper'!$A$1:$O$37,5,FALSE)</f>
        <v>14.5</v>
      </c>
      <c r="P15">
        <f>VLOOKUP(A15,'[1]Structural Steel Section Proper'!$A$1:$O$37,3,FALSE)</f>
        <v>228.6</v>
      </c>
      <c r="Q15">
        <f>VLOOKUP(A15,'[1]Structural Steel Section Proper'!$A$1:$O$37,6,FALSE)</f>
        <v>23.7</v>
      </c>
      <c r="S15">
        <f>VLOOKUP(A15,'[1]Structural Steel Section Proper'!$A$1:$O$37,4,FALSE)</f>
        <v>210.3</v>
      </c>
    </row>
    <row r="16" spans="1:19" x14ac:dyDescent="0.15">
      <c r="A16" s="1" t="s">
        <v>33</v>
      </c>
      <c r="B16" s="1">
        <v>17500</v>
      </c>
      <c r="C16" s="1">
        <v>5930</v>
      </c>
      <c r="D16" s="1">
        <v>11.3</v>
      </c>
      <c r="E16" s="1">
        <v>6.59</v>
      </c>
      <c r="F16" s="1">
        <v>1310</v>
      </c>
      <c r="G16" s="1">
        <v>458</v>
      </c>
      <c r="H16" s="1">
        <v>1480</v>
      </c>
      <c r="I16" s="1">
        <v>697</v>
      </c>
      <c r="J16" s="1">
        <v>0.84799999999999998</v>
      </c>
      <c r="K16" s="1">
        <v>12.38</v>
      </c>
      <c r="L16" s="1">
        <v>0.89800000000000002</v>
      </c>
      <c r="M16" s="1">
        <v>172</v>
      </c>
      <c r="N16" s="1">
        <v>13600</v>
      </c>
      <c r="O16">
        <f>VLOOKUP(A16,'[1]Structural Steel Section Proper'!$A$1:$O$37,5,FALSE)</f>
        <v>12.8</v>
      </c>
      <c r="P16">
        <f>VLOOKUP(A16,'[1]Structural Steel Section Proper'!$A$1:$O$37,3,FALSE)</f>
        <v>266.7</v>
      </c>
      <c r="Q16">
        <f>VLOOKUP(A16,'[1]Structural Steel Section Proper'!$A$1:$O$37,6,FALSE)</f>
        <v>20.5</v>
      </c>
      <c r="S16">
        <f>VLOOKUP(A16,'[1]Structural Steel Section Proper'!$A$1:$O$37,4,FALSE)</f>
        <v>258.8</v>
      </c>
    </row>
    <row r="17" spans="1:19" x14ac:dyDescent="0.15">
      <c r="A17" s="1" t="s">
        <v>51</v>
      </c>
      <c r="B17" s="1">
        <v>13300</v>
      </c>
      <c r="C17" s="1">
        <v>4290</v>
      </c>
      <c r="D17" s="1">
        <v>9.59</v>
      </c>
      <c r="E17" s="1">
        <v>5.45</v>
      </c>
      <c r="F17" s="1">
        <v>1130</v>
      </c>
      <c r="G17" s="1">
        <v>404</v>
      </c>
      <c r="H17" s="1">
        <v>1330</v>
      </c>
      <c r="I17" s="1">
        <v>618</v>
      </c>
      <c r="J17" s="1">
        <v>0.85299999999999998</v>
      </c>
      <c r="K17" s="1">
        <v>8.11</v>
      </c>
      <c r="L17" s="1">
        <v>0.46400000000000002</v>
      </c>
      <c r="M17" s="1">
        <v>305</v>
      </c>
      <c r="N17" s="1">
        <v>14500</v>
      </c>
      <c r="O17">
        <f>VLOOKUP(A17,'[1]Structural Steel Section Proper'!$A$1:$O$37,5,FALSE)</f>
        <v>16.3</v>
      </c>
      <c r="P17">
        <f>VLOOKUP(A17,'[1]Structural Steel Section Proper'!$A$1:$O$37,3,FALSE)</f>
        <v>235</v>
      </c>
      <c r="Q17">
        <f>VLOOKUP(A17,'[1]Structural Steel Section Proper'!$A$1:$O$37,6,FALSE)</f>
        <v>26.9</v>
      </c>
      <c r="S17">
        <f>VLOOKUP(A17,'[1]Structural Steel Section Proper'!$A$1:$O$37,4,FALSE)</f>
        <v>212.1</v>
      </c>
    </row>
    <row r="18" spans="1:19" x14ac:dyDescent="0.15">
      <c r="A18" s="1" t="s">
        <v>29</v>
      </c>
      <c r="B18" s="1">
        <v>27700</v>
      </c>
      <c r="C18" s="1">
        <v>9060</v>
      </c>
      <c r="D18" s="1">
        <v>13.6</v>
      </c>
      <c r="E18" s="1">
        <v>7.77</v>
      </c>
      <c r="F18" s="1">
        <v>1760</v>
      </c>
      <c r="G18" s="1">
        <v>589</v>
      </c>
      <c r="H18" s="1">
        <v>1960</v>
      </c>
      <c r="I18" s="1">
        <v>895</v>
      </c>
      <c r="J18" s="1">
        <v>0.85</v>
      </c>
      <c r="K18" s="1">
        <v>16.14</v>
      </c>
      <c r="L18" s="1">
        <v>1.98</v>
      </c>
      <c r="M18" s="1">
        <v>161</v>
      </c>
      <c r="N18" s="1">
        <v>15000</v>
      </c>
      <c r="O18">
        <f>VLOOKUP(A18,'[1]Structural Steel Section Proper'!$A$1:$O$37,5,FALSE)</f>
        <v>12</v>
      </c>
      <c r="P18">
        <f>VLOOKUP(A18,'[1]Structural Steel Section Proper'!$A$1:$O$37,3,FALSE)</f>
        <v>314.5</v>
      </c>
      <c r="Q18">
        <f>VLOOKUP(A18,'[1]Structural Steel Section Proper'!$A$1:$O$37,6,FALSE)</f>
        <v>18.7</v>
      </c>
      <c r="S18">
        <f>VLOOKUP(A18,'[1]Structural Steel Section Proper'!$A$1:$O$37,4,FALSE)</f>
        <v>307.39999999999998</v>
      </c>
    </row>
    <row r="19" spans="1:19" x14ac:dyDescent="0.15">
      <c r="A19" s="1" t="s">
        <v>50</v>
      </c>
      <c r="B19" s="1">
        <v>15400</v>
      </c>
      <c r="C19" s="1">
        <v>4920</v>
      </c>
      <c r="D19" s="1">
        <v>9.75</v>
      </c>
      <c r="E19" s="1">
        <v>5.5</v>
      </c>
      <c r="F19" s="1">
        <v>1280</v>
      </c>
      <c r="G19" s="1">
        <v>460</v>
      </c>
      <c r="H19" s="1">
        <v>1520</v>
      </c>
      <c r="I19" s="1">
        <v>704</v>
      </c>
      <c r="J19" s="1">
        <v>0.85399999999999998</v>
      </c>
      <c r="K19" s="1">
        <v>7.38</v>
      </c>
      <c r="L19" s="1">
        <v>0.54900000000000004</v>
      </c>
      <c r="M19" s="1">
        <v>427</v>
      </c>
      <c r="N19" s="1">
        <v>16200</v>
      </c>
      <c r="O19">
        <f>VLOOKUP(A19,'[1]Structural Steel Section Proper'!$A$1:$O$37,5,FALSE)</f>
        <v>18.100000000000001</v>
      </c>
      <c r="P19">
        <f>VLOOKUP(A19,'[1]Structural Steel Section Proper'!$A$1:$O$37,3,FALSE)</f>
        <v>241.4</v>
      </c>
      <c r="Q19">
        <f>VLOOKUP(A19,'[1]Structural Steel Section Proper'!$A$1:$O$37,6,FALSE)</f>
        <v>30.1</v>
      </c>
      <c r="S19">
        <f>VLOOKUP(A19,'[1]Structural Steel Section Proper'!$A$1:$O$37,4,FALSE)</f>
        <v>213.9</v>
      </c>
    </row>
    <row r="20" spans="1:19" x14ac:dyDescent="0.15">
      <c r="A20" s="1" t="s">
        <v>23</v>
      </c>
      <c r="B20" s="1">
        <v>40200</v>
      </c>
      <c r="C20" s="1">
        <v>14600</v>
      </c>
      <c r="D20" s="1">
        <v>15.6</v>
      </c>
      <c r="E20" s="1">
        <v>9.43</v>
      </c>
      <c r="F20" s="1">
        <v>2260</v>
      </c>
      <c r="G20" s="1">
        <v>793</v>
      </c>
      <c r="H20" s="1">
        <v>2480</v>
      </c>
      <c r="I20" s="1">
        <v>1200</v>
      </c>
      <c r="J20" s="1">
        <v>0.84399999999999997</v>
      </c>
      <c r="K20" s="1">
        <v>19.809999999999999</v>
      </c>
      <c r="L20" s="1">
        <v>4.18</v>
      </c>
      <c r="M20" s="1">
        <v>153</v>
      </c>
      <c r="N20" s="1">
        <v>16400</v>
      </c>
      <c r="O20">
        <f>VLOOKUP(A20,'[1]Structural Steel Section Proper'!$A$1:$O$37,5,FALSE)</f>
        <v>10.4</v>
      </c>
      <c r="P20">
        <f>VLOOKUP(A20,'[1]Structural Steel Section Proper'!$A$1:$O$37,3,FALSE)</f>
        <v>355.6</v>
      </c>
      <c r="Q20">
        <f>VLOOKUP(A20,'[1]Structural Steel Section Proper'!$A$1:$O$37,6,FALSE)</f>
        <v>17.5</v>
      </c>
      <c r="S20">
        <f>VLOOKUP(A20,'[1]Structural Steel Section Proper'!$A$1:$O$37,4,FALSE)</f>
        <v>368.6</v>
      </c>
    </row>
    <row r="21" spans="1:19" x14ac:dyDescent="0.15">
      <c r="A21" s="1" t="s">
        <v>32</v>
      </c>
      <c r="B21" s="1">
        <v>22500</v>
      </c>
      <c r="C21" s="1">
        <v>7530</v>
      </c>
      <c r="D21" s="1">
        <v>11.6</v>
      </c>
      <c r="E21" s="1">
        <v>6.69</v>
      </c>
      <c r="F21" s="1">
        <v>1630</v>
      </c>
      <c r="G21" s="1">
        <v>576</v>
      </c>
      <c r="H21" s="1">
        <v>1870</v>
      </c>
      <c r="I21" s="1">
        <v>878</v>
      </c>
      <c r="J21" s="1">
        <v>0.85</v>
      </c>
      <c r="K21" s="1">
        <v>10.32</v>
      </c>
      <c r="L21" s="1">
        <v>1.19</v>
      </c>
      <c r="M21" s="1">
        <v>319</v>
      </c>
      <c r="N21" s="1">
        <v>16800</v>
      </c>
      <c r="O21">
        <f>VLOOKUP(A21,'[1]Structural Steel Section Proper'!$A$1:$O$37,5,FALSE)</f>
        <v>15.3</v>
      </c>
      <c r="P21">
        <f>VLOOKUP(A21,'[1]Structural Steel Section Proper'!$A$1:$O$37,3,FALSE)</f>
        <v>276.3</v>
      </c>
      <c r="Q21">
        <f>VLOOKUP(A21,'[1]Structural Steel Section Proper'!$A$1:$O$37,6,FALSE)</f>
        <v>25.3</v>
      </c>
      <c r="S21">
        <f>VLOOKUP(A21,'[1]Structural Steel Section Proper'!$A$1:$O$37,4,FALSE)</f>
        <v>261.3</v>
      </c>
    </row>
    <row r="22" spans="1:19" x14ac:dyDescent="0.15">
      <c r="A22" s="1" t="s">
        <v>28</v>
      </c>
      <c r="B22" s="1">
        <v>32800</v>
      </c>
      <c r="C22" s="1">
        <v>10700</v>
      </c>
      <c r="D22" s="1">
        <v>13.7</v>
      </c>
      <c r="E22" s="1">
        <v>7.83</v>
      </c>
      <c r="F22" s="1">
        <v>2050</v>
      </c>
      <c r="G22" s="1">
        <v>692</v>
      </c>
      <c r="H22" s="1">
        <v>2300</v>
      </c>
      <c r="I22" s="1">
        <v>1050</v>
      </c>
      <c r="J22" s="1">
        <v>0.85099999999999998</v>
      </c>
      <c r="K22" s="1">
        <v>14.13</v>
      </c>
      <c r="L22" s="1">
        <v>2.39</v>
      </c>
      <c r="M22" s="1">
        <v>249</v>
      </c>
      <c r="N22" s="1">
        <v>17400</v>
      </c>
      <c r="O22">
        <f>VLOOKUP(A22,'[1]Structural Steel Section Proper'!$A$1:$O$37,5,FALSE)</f>
        <v>13.8</v>
      </c>
      <c r="P22">
        <f>VLOOKUP(A22,'[1]Structural Steel Section Proper'!$A$1:$O$37,3,FALSE)</f>
        <v>320.5</v>
      </c>
      <c r="Q22">
        <f>VLOOKUP(A22,'[1]Structural Steel Section Proper'!$A$1:$O$37,6,FALSE)</f>
        <v>21.7</v>
      </c>
      <c r="S22">
        <f>VLOOKUP(A22,'[1]Structural Steel Section Proper'!$A$1:$O$37,4,FALSE)</f>
        <v>309.2</v>
      </c>
    </row>
    <row r="23" spans="1:19" x14ac:dyDescent="0.15">
      <c r="A23" s="1" t="s">
        <v>22</v>
      </c>
      <c r="B23" s="1">
        <v>48600</v>
      </c>
      <c r="C23" s="1">
        <v>17600</v>
      </c>
      <c r="D23" s="1">
        <v>15.8</v>
      </c>
      <c r="E23" s="1">
        <v>9.49</v>
      </c>
      <c r="F23" s="1">
        <v>2680</v>
      </c>
      <c r="G23" s="1">
        <v>948</v>
      </c>
      <c r="H23" s="1">
        <v>2960</v>
      </c>
      <c r="I23" s="1">
        <v>1430</v>
      </c>
      <c r="J23" s="1">
        <v>0.84399999999999997</v>
      </c>
      <c r="K23" s="1">
        <v>17.010000000000002</v>
      </c>
      <c r="L23" s="1">
        <v>5.1100000000000003</v>
      </c>
      <c r="M23" s="1">
        <v>251</v>
      </c>
      <c r="N23" s="1">
        <v>19500</v>
      </c>
      <c r="O23">
        <f>VLOOKUP(A23,'[1]Structural Steel Section Proper'!$A$1:$O$37,5,FALSE)</f>
        <v>12.3</v>
      </c>
      <c r="P23">
        <f>VLOOKUP(A23,'[1]Structural Steel Section Proper'!$A$1:$O$37,3,FALSE)</f>
        <v>362</v>
      </c>
      <c r="Q23">
        <f>VLOOKUP(A23,'[1]Structural Steel Section Proper'!$A$1:$O$37,6,FALSE)</f>
        <v>20.7</v>
      </c>
      <c r="S23">
        <f>VLOOKUP(A23,'[1]Structural Steel Section Proper'!$A$1:$O$37,4,FALSE)</f>
        <v>370.5</v>
      </c>
    </row>
    <row r="24" spans="1:19" x14ac:dyDescent="0.15">
      <c r="A24" s="1" t="s">
        <v>27</v>
      </c>
      <c r="B24" s="1">
        <v>38700</v>
      </c>
      <c r="C24" s="1">
        <v>12600</v>
      </c>
      <c r="D24" s="1">
        <v>13.9</v>
      </c>
      <c r="E24" s="1">
        <v>7.9</v>
      </c>
      <c r="F24" s="1">
        <v>2370</v>
      </c>
      <c r="G24" s="1">
        <v>808</v>
      </c>
      <c r="H24" s="1">
        <v>2680</v>
      </c>
      <c r="I24" s="1">
        <v>1230</v>
      </c>
      <c r="J24" s="1">
        <v>0.85099999999999998</v>
      </c>
      <c r="K24" s="1">
        <v>12.46</v>
      </c>
      <c r="L24" s="1">
        <v>2.87</v>
      </c>
      <c r="M24" s="1">
        <v>378</v>
      </c>
      <c r="N24" s="1">
        <v>20100</v>
      </c>
      <c r="O24">
        <f>VLOOKUP(A24,'[1]Structural Steel Section Proper'!$A$1:$O$37,5,FALSE)</f>
        <v>15.8</v>
      </c>
      <c r="P24">
        <f>VLOOKUP(A24,'[1]Structural Steel Section Proper'!$A$1:$O$37,3,FALSE)</f>
        <v>327.10000000000002</v>
      </c>
      <c r="Q24">
        <f>VLOOKUP(A24,'[1]Structural Steel Section Proper'!$A$1:$O$37,6,FALSE)</f>
        <v>25</v>
      </c>
      <c r="S24">
        <f>VLOOKUP(A24,'[1]Structural Steel Section Proper'!$A$1:$O$37,4,FALSE)</f>
        <v>311.2</v>
      </c>
    </row>
    <row r="25" spans="1:19" x14ac:dyDescent="0.15">
      <c r="A25" s="1" t="s">
        <v>31</v>
      </c>
      <c r="B25" s="1">
        <v>30000</v>
      </c>
      <c r="C25" s="1">
        <v>9870</v>
      </c>
      <c r="D25" s="1">
        <v>11.9</v>
      </c>
      <c r="E25" s="1">
        <v>6.81</v>
      </c>
      <c r="F25" s="1">
        <v>2080</v>
      </c>
      <c r="G25" s="1">
        <v>744</v>
      </c>
      <c r="H25" s="1">
        <v>2420</v>
      </c>
      <c r="I25" s="1">
        <v>1140</v>
      </c>
      <c r="J25" s="1">
        <v>0.85099999999999998</v>
      </c>
      <c r="K25" s="1">
        <v>8.48</v>
      </c>
      <c r="L25" s="1">
        <v>1.63</v>
      </c>
      <c r="M25" s="1">
        <v>626</v>
      </c>
      <c r="N25" s="1">
        <v>21300</v>
      </c>
      <c r="O25">
        <f>VLOOKUP(A25,'[1]Structural Steel Section Proper'!$A$1:$O$37,5,FALSE)</f>
        <v>19.2</v>
      </c>
      <c r="P25">
        <f>VLOOKUP(A25,'[1]Structural Steel Section Proper'!$A$1:$O$37,3,FALSE)</f>
        <v>289.10000000000002</v>
      </c>
      <c r="Q25">
        <f>VLOOKUP(A25,'[1]Structural Steel Section Proper'!$A$1:$O$37,6,FALSE)</f>
        <v>31.7</v>
      </c>
      <c r="S25">
        <f>VLOOKUP(A25,'[1]Structural Steel Section Proper'!$A$1:$O$37,4,FALSE)</f>
        <v>265.2</v>
      </c>
    </row>
    <row r="26" spans="1:19" x14ac:dyDescent="0.15">
      <c r="A26" s="1" t="s">
        <v>21</v>
      </c>
      <c r="B26" s="1">
        <v>57100</v>
      </c>
      <c r="C26" s="1">
        <v>20500</v>
      </c>
      <c r="D26" s="1">
        <v>15.9</v>
      </c>
      <c r="E26" s="1">
        <v>9.5399999999999991</v>
      </c>
      <c r="F26" s="1">
        <v>3100</v>
      </c>
      <c r="G26" s="1">
        <v>1100</v>
      </c>
      <c r="H26" s="1">
        <v>3460</v>
      </c>
      <c r="I26" s="1">
        <v>1670</v>
      </c>
      <c r="J26" s="1">
        <v>0.84399999999999997</v>
      </c>
      <c r="K26" s="1">
        <v>15</v>
      </c>
      <c r="L26" s="1">
        <v>6.09</v>
      </c>
      <c r="M26" s="1">
        <v>381</v>
      </c>
      <c r="N26" s="1">
        <v>22600</v>
      </c>
      <c r="O26">
        <f>VLOOKUP(A26,'[1]Structural Steel Section Proper'!$A$1:$O$37,5,FALSE)</f>
        <v>14.4</v>
      </c>
      <c r="P26">
        <f>VLOOKUP(A26,'[1]Structural Steel Section Proper'!$A$1:$O$37,3,FALSE)</f>
        <v>368.2</v>
      </c>
      <c r="Q26">
        <f>VLOOKUP(A26,'[1]Structural Steel Section Proper'!$A$1:$O$37,6,FALSE)</f>
        <v>23.8</v>
      </c>
      <c r="S26">
        <f>VLOOKUP(A26,'[1]Structural Steel Section Proper'!$A$1:$O$37,4,FALSE)</f>
        <v>372.6</v>
      </c>
    </row>
    <row r="27" spans="1:19" x14ac:dyDescent="0.15">
      <c r="A27" s="1" t="s">
        <v>26</v>
      </c>
      <c r="B27" s="1">
        <v>50900</v>
      </c>
      <c r="C27" s="1">
        <v>16300</v>
      </c>
      <c r="D27" s="1">
        <v>14.2</v>
      </c>
      <c r="E27" s="1">
        <v>8.0399999999999991</v>
      </c>
      <c r="F27" s="1">
        <v>3000</v>
      </c>
      <c r="G27" s="1">
        <v>1040</v>
      </c>
      <c r="H27" s="1">
        <v>3440</v>
      </c>
      <c r="I27" s="1">
        <v>1580</v>
      </c>
      <c r="J27" s="1">
        <v>0.85399999999999998</v>
      </c>
      <c r="K27" s="1">
        <v>10.23</v>
      </c>
      <c r="L27" s="1">
        <v>3.88</v>
      </c>
      <c r="M27" s="1">
        <v>734</v>
      </c>
      <c r="N27" s="1">
        <v>25200</v>
      </c>
      <c r="O27">
        <f>VLOOKUP(A27,'[1]Structural Steel Section Proper'!$A$1:$O$37,5,FALSE)</f>
        <v>19.100000000000001</v>
      </c>
      <c r="P27">
        <f>VLOOKUP(A27,'[1]Structural Steel Section Proper'!$A$1:$O$37,3,FALSE)</f>
        <v>339.9</v>
      </c>
      <c r="Q27">
        <f>VLOOKUP(A27,'[1]Structural Steel Section Proper'!$A$1:$O$37,6,FALSE)</f>
        <v>31.4</v>
      </c>
      <c r="S27">
        <f>VLOOKUP(A27,'[1]Structural Steel Section Proper'!$A$1:$O$37,4,FALSE)</f>
        <v>314.5</v>
      </c>
    </row>
    <row r="28" spans="1:19" x14ac:dyDescent="0.15">
      <c r="A28" s="1" t="s">
        <v>20</v>
      </c>
      <c r="B28" s="1">
        <v>66300</v>
      </c>
      <c r="C28" s="1">
        <v>23700</v>
      </c>
      <c r="D28" s="1">
        <v>16.100000000000001</v>
      </c>
      <c r="E28" s="1">
        <v>9.6</v>
      </c>
      <c r="F28" s="1">
        <v>3540</v>
      </c>
      <c r="G28" s="1">
        <v>1260</v>
      </c>
      <c r="H28" s="1">
        <v>3970</v>
      </c>
      <c r="I28" s="1">
        <v>1920</v>
      </c>
      <c r="J28" s="1">
        <v>0.84399999999999997</v>
      </c>
      <c r="K28" s="1">
        <v>13.35</v>
      </c>
      <c r="L28" s="1">
        <v>7.16</v>
      </c>
      <c r="M28" s="1">
        <v>558</v>
      </c>
      <c r="N28" s="1">
        <v>25700</v>
      </c>
      <c r="O28">
        <f>VLOOKUP(A28,'[1]Structural Steel Section Proper'!$A$1:$O$37,5,FALSE)</f>
        <v>16.5</v>
      </c>
      <c r="P28">
        <f>VLOOKUP(A28,'[1]Structural Steel Section Proper'!$A$1:$O$37,3,FALSE)</f>
        <v>374.6</v>
      </c>
      <c r="Q28">
        <f>VLOOKUP(A28,'[1]Structural Steel Section Proper'!$A$1:$O$37,6,FALSE)</f>
        <v>27</v>
      </c>
      <c r="S28">
        <f>VLOOKUP(A28,'[1]Structural Steel Section Proper'!$A$1:$O$37,4,FALSE)</f>
        <v>374.7</v>
      </c>
    </row>
    <row r="29" spans="1:19" x14ac:dyDescent="0.15">
      <c r="A29" s="1" t="s">
        <v>19</v>
      </c>
      <c r="B29" s="1">
        <v>79100</v>
      </c>
      <c r="C29" s="1">
        <v>31000</v>
      </c>
      <c r="D29" s="1">
        <v>16.3</v>
      </c>
      <c r="E29" s="1">
        <v>10.199999999999999</v>
      </c>
      <c r="F29" s="1">
        <v>4150</v>
      </c>
      <c r="G29" s="1">
        <v>1570</v>
      </c>
      <c r="H29" s="1">
        <v>4690</v>
      </c>
      <c r="I29" s="1">
        <v>2380</v>
      </c>
      <c r="J29" s="1">
        <v>0.83399999999999996</v>
      </c>
      <c r="K29" s="1">
        <v>12.04</v>
      </c>
      <c r="L29" s="1">
        <v>9.5399999999999991</v>
      </c>
      <c r="M29" s="1">
        <v>812</v>
      </c>
      <c r="N29" s="1">
        <v>29900</v>
      </c>
      <c r="O29">
        <f>VLOOKUP(A29,'[1]Structural Steel Section Proper'!$A$1:$O$37,5,FALSE)</f>
        <v>18.399999999999999</v>
      </c>
      <c r="P29">
        <f>VLOOKUP(A29,'[1]Structural Steel Section Proper'!$A$1:$O$37,3,FALSE)</f>
        <v>381</v>
      </c>
      <c r="Q29">
        <f>VLOOKUP(A29,'[1]Structural Steel Section Proper'!$A$1:$O$37,6,FALSE)</f>
        <v>30.2</v>
      </c>
      <c r="S29">
        <f>VLOOKUP(A29,'[1]Structural Steel Section Proper'!$A$1:$O$37,4,FALSE)</f>
        <v>394.8</v>
      </c>
    </row>
    <row r="30" spans="1:19" x14ac:dyDescent="0.15">
      <c r="A30" s="1" t="s">
        <v>25</v>
      </c>
      <c r="B30" s="1">
        <v>64200</v>
      </c>
      <c r="C30" s="1">
        <v>20300</v>
      </c>
      <c r="D30" s="1">
        <v>14.5</v>
      </c>
      <c r="E30" s="1">
        <v>8.15</v>
      </c>
      <c r="F30" s="1">
        <v>3640</v>
      </c>
      <c r="G30" s="1">
        <v>1280</v>
      </c>
      <c r="H30" s="1">
        <v>4250</v>
      </c>
      <c r="I30" s="1">
        <v>1950</v>
      </c>
      <c r="J30" s="1">
        <v>0.85399999999999998</v>
      </c>
      <c r="K30" s="1">
        <v>8.73</v>
      </c>
      <c r="L30" s="1">
        <v>5.03</v>
      </c>
      <c r="M30" s="1">
        <v>1270</v>
      </c>
      <c r="N30" s="1">
        <v>30600</v>
      </c>
      <c r="O30">
        <f>VLOOKUP(A30,'[1]Structural Steel Section Proper'!$A$1:$O$37,5,FALSE)</f>
        <v>23</v>
      </c>
      <c r="P30">
        <f>VLOOKUP(A30,'[1]Structural Steel Section Proper'!$A$1:$O$37,3,FALSE)</f>
        <v>352.5</v>
      </c>
      <c r="Q30">
        <f>VLOOKUP(A30,'[1]Structural Steel Section Proper'!$A$1:$O$37,6,FALSE)</f>
        <v>37.700000000000003</v>
      </c>
      <c r="S30">
        <f>VLOOKUP(A30,'[1]Structural Steel Section Proper'!$A$1:$O$37,4,FALSE)</f>
        <v>318.39999999999998</v>
      </c>
    </row>
    <row r="31" spans="1:19" x14ac:dyDescent="0.15">
      <c r="A31" s="1" t="s">
        <v>24</v>
      </c>
      <c r="B31" s="1">
        <v>78900</v>
      </c>
      <c r="C31" s="1">
        <v>24600</v>
      </c>
      <c r="D31" s="1">
        <v>14.8</v>
      </c>
      <c r="E31" s="1">
        <v>8.27</v>
      </c>
      <c r="F31" s="1">
        <v>4320</v>
      </c>
      <c r="G31" s="1">
        <v>1530</v>
      </c>
      <c r="H31" s="1">
        <v>5110</v>
      </c>
      <c r="I31" s="1">
        <v>2340</v>
      </c>
      <c r="J31" s="1">
        <v>0.85499999999999998</v>
      </c>
      <c r="K31" s="1">
        <v>7.64</v>
      </c>
      <c r="L31" s="1">
        <v>6.35</v>
      </c>
      <c r="M31" s="1">
        <v>2030</v>
      </c>
      <c r="N31" s="1">
        <v>36000</v>
      </c>
      <c r="O31">
        <f>VLOOKUP(A31,'[1]Structural Steel Section Proper'!$A$1:$O$37,5,FALSE)</f>
        <v>26.8</v>
      </c>
      <c r="P31">
        <f>VLOOKUP(A31,'[1]Structural Steel Section Proper'!$A$1:$O$37,3,FALSE)</f>
        <v>365.3</v>
      </c>
      <c r="Q31">
        <f>VLOOKUP(A31,'[1]Structural Steel Section Proper'!$A$1:$O$37,6,FALSE)</f>
        <v>44.1</v>
      </c>
      <c r="S31">
        <f>VLOOKUP(A31,'[1]Structural Steel Section Proper'!$A$1:$O$37,4,FALSE)</f>
        <v>322.2</v>
      </c>
    </row>
    <row r="32" spans="1:19" x14ac:dyDescent="0.15">
      <c r="A32" s="1" t="s">
        <v>18</v>
      </c>
      <c r="B32" s="1">
        <v>99900</v>
      </c>
      <c r="C32" s="1">
        <v>38700</v>
      </c>
      <c r="D32" s="1">
        <v>16.5</v>
      </c>
      <c r="E32" s="1">
        <v>10.3</v>
      </c>
      <c r="F32" s="1">
        <v>5070</v>
      </c>
      <c r="G32" s="1">
        <v>1940</v>
      </c>
      <c r="H32" s="1">
        <v>5810</v>
      </c>
      <c r="I32" s="1">
        <v>2950</v>
      </c>
      <c r="J32" s="1">
        <v>0.83499999999999996</v>
      </c>
      <c r="K32" s="1">
        <v>10.17</v>
      </c>
      <c r="L32" s="1">
        <v>12.3</v>
      </c>
      <c r="M32" s="1">
        <v>1440</v>
      </c>
      <c r="N32" s="1">
        <v>36600</v>
      </c>
      <c r="O32">
        <f>VLOOKUP(A32,'[1]Structural Steel Section Proper'!$A$1:$O$37,5,FALSE)</f>
        <v>22.6</v>
      </c>
      <c r="P32">
        <f>VLOOKUP(A32,'[1]Structural Steel Section Proper'!$A$1:$O$37,3,FALSE)</f>
        <v>393.6</v>
      </c>
      <c r="Q32">
        <f>VLOOKUP(A32,'[1]Structural Steel Section Proper'!$A$1:$O$37,6,FALSE)</f>
        <v>36.5</v>
      </c>
      <c r="S32">
        <f>VLOOKUP(A32,'[1]Structural Steel Section Proper'!$A$1:$O$37,4,FALSE)</f>
        <v>399</v>
      </c>
    </row>
    <row r="33" spans="1:19" x14ac:dyDescent="0.15">
      <c r="A33" s="1" t="s">
        <v>17</v>
      </c>
      <c r="B33" s="1">
        <v>123000</v>
      </c>
      <c r="C33" s="1">
        <v>46900</v>
      </c>
      <c r="D33" s="1">
        <v>16.8</v>
      </c>
      <c r="E33" s="1">
        <v>10.4</v>
      </c>
      <c r="F33" s="1">
        <v>6030</v>
      </c>
      <c r="G33" s="1">
        <v>2330</v>
      </c>
      <c r="H33" s="1">
        <v>7000</v>
      </c>
      <c r="I33" s="1">
        <v>3540</v>
      </c>
      <c r="J33" s="1">
        <v>0.83599999999999997</v>
      </c>
      <c r="K33" s="1">
        <v>8.84</v>
      </c>
      <c r="L33" s="1">
        <v>15.5</v>
      </c>
      <c r="M33" s="1">
        <v>2340</v>
      </c>
      <c r="N33" s="1">
        <v>43300</v>
      </c>
      <c r="O33">
        <f>VLOOKUP(A33,'[1]Structural Steel Section Proper'!$A$1:$O$37,5,FALSE)</f>
        <v>26.6</v>
      </c>
      <c r="P33">
        <f>VLOOKUP(A33,'[1]Structural Steel Section Proper'!$A$1:$O$37,3,FALSE)</f>
        <v>406.4</v>
      </c>
      <c r="Q33">
        <f>VLOOKUP(A33,'[1]Structural Steel Section Proper'!$A$1:$O$37,6,FALSE)</f>
        <v>42.9</v>
      </c>
      <c r="S33">
        <f>VLOOKUP(A33,'[1]Structural Steel Section Proper'!$A$1:$O$37,4,FALSE)</f>
        <v>403</v>
      </c>
    </row>
    <row r="34" spans="1:19" x14ac:dyDescent="0.15">
      <c r="A34" s="1" t="s">
        <v>16</v>
      </c>
      <c r="B34" s="1">
        <v>147000</v>
      </c>
      <c r="C34" s="1">
        <v>55400</v>
      </c>
      <c r="D34" s="1">
        <v>17.100000000000001</v>
      </c>
      <c r="E34" s="1">
        <v>10.5</v>
      </c>
      <c r="F34" s="1">
        <v>7000</v>
      </c>
      <c r="G34" s="1">
        <v>2720</v>
      </c>
      <c r="H34" s="1">
        <v>8220</v>
      </c>
      <c r="I34" s="1">
        <v>4150</v>
      </c>
      <c r="J34" s="1">
        <v>0.83699999999999997</v>
      </c>
      <c r="K34" s="1">
        <v>7.86</v>
      </c>
      <c r="L34" s="1">
        <v>18.899999999999999</v>
      </c>
      <c r="M34" s="1">
        <v>3550</v>
      </c>
      <c r="N34" s="1">
        <v>50100</v>
      </c>
      <c r="O34">
        <f>VLOOKUP(A34,'[1]Structural Steel Section Proper'!$A$1:$O$37,5,FALSE)</f>
        <v>30.6</v>
      </c>
      <c r="P34">
        <f>VLOOKUP(A34,'[1]Structural Steel Section Proper'!$A$1:$O$37,3,FALSE)</f>
        <v>419</v>
      </c>
      <c r="Q34">
        <f>VLOOKUP(A34,'[1]Structural Steel Section Proper'!$A$1:$O$37,6,FALSE)</f>
        <v>49.2</v>
      </c>
      <c r="S34">
        <f>VLOOKUP(A34,'[1]Structural Steel Section Proper'!$A$1:$O$37,4,FALSE)</f>
        <v>407</v>
      </c>
    </row>
    <row r="35" spans="1:19" x14ac:dyDescent="0.15">
      <c r="A35" s="1" t="s">
        <v>15</v>
      </c>
      <c r="B35" s="1">
        <v>183000</v>
      </c>
      <c r="C35" s="1">
        <v>67800</v>
      </c>
      <c r="D35" s="1">
        <v>17.5</v>
      </c>
      <c r="E35" s="1">
        <v>10.7</v>
      </c>
      <c r="F35" s="1">
        <v>8380</v>
      </c>
      <c r="G35" s="1">
        <v>3290</v>
      </c>
      <c r="H35" s="1">
        <v>10000</v>
      </c>
      <c r="I35" s="1">
        <v>5030</v>
      </c>
      <c r="J35" s="1">
        <v>0.83899999999999997</v>
      </c>
      <c r="K35" s="1">
        <v>6.85</v>
      </c>
      <c r="L35" s="1">
        <v>24.3</v>
      </c>
      <c r="M35" s="1">
        <v>5810</v>
      </c>
      <c r="N35" s="1">
        <v>59500</v>
      </c>
      <c r="O35">
        <f>VLOOKUP(A35,'[1]Structural Steel Section Proper'!$A$1:$O$37,5,FALSE)</f>
        <v>35.799999999999997</v>
      </c>
      <c r="P35">
        <f>VLOOKUP(A35,'[1]Structural Steel Section Proper'!$A$1:$O$37,3,FALSE)</f>
        <v>436.6</v>
      </c>
      <c r="Q35">
        <f>VLOOKUP(A35,'[1]Structural Steel Section Proper'!$A$1:$O$37,6,FALSE)</f>
        <v>58</v>
      </c>
      <c r="S35">
        <f>VLOOKUP(A35,'[1]Structural Steel Section Proper'!$A$1:$O$37,4,FALSE)</f>
        <v>412.2</v>
      </c>
    </row>
    <row r="36" spans="1:19" x14ac:dyDescent="0.15">
      <c r="A36" s="1" t="s">
        <v>14</v>
      </c>
      <c r="B36" s="1">
        <v>227000</v>
      </c>
      <c r="C36" s="1">
        <v>82700</v>
      </c>
      <c r="D36" s="1">
        <v>18</v>
      </c>
      <c r="E36" s="1">
        <v>10.9</v>
      </c>
      <c r="F36" s="1">
        <v>9960</v>
      </c>
      <c r="G36" s="1">
        <v>3950</v>
      </c>
      <c r="H36" s="1">
        <v>12100</v>
      </c>
      <c r="I36" s="1">
        <v>6060</v>
      </c>
      <c r="J36" s="1">
        <v>0.84099999999999997</v>
      </c>
      <c r="K36" s="1">
        <v>6.05</v>
      </c>
      <c r="L36" s="1">
        <v>31.1</v>
      </c>
      <c r="M36" s="1">
        <v>9240</v>
      </c>
      <c r="N36" s="1">
        <v>70200</v>
      </c>
      <c r="O36">
        <f>VLOOKUP(A36,'[1]Structural Steel Section Proper'!$A$1:$O$37,5,FALSE)</f>
        <v>42.1</v>
      </c>
      <c r="P36">
        <f>VLOOKUP(A36,'[1]Structural Steel Section Proper'!$A$1:$O$37,3,FALSE)</f>
        <v>455.6</v>
      </c>
      <c r="Q36">
        <f>VLOOKUP(A36,'[1]Structural Steel Section Proper'!$A$1:$O$37,6,FALSE)</f>
        <v>67.5</v>
      </c>
      <c r="S36">
        <f>VLOOKUP(A36,'[1]Structural Steel Section Proper'!$A$1:$O$37,4,FALSE)</f>
        <v>418.5</v>
      </c>
    </row>
    <row r="37" spans="1:19" x14ac:dyDescent="0.15">
      <c r="A37" s="1" t="s">
        <v>13</v>
      </c>
      <c r="B37" s="1">
        <v>275000</v>
      </c>
      <c r="C37" s="1">
        <v>98100</v>
      </c>
      <c r="D37" s="1">
        <v>18.399999999999999</v>
      </c>
      <c r="E37" s="1">
        <v>11</v>
      </c>
      <c r="F37" s="1">
        <v>11600</v>
      </c>
      <c r="G37" s="1">
        <v>4630</v>
      </c>
      <c r="H37" s="1">
        <v>14200</v>
      </c>
      <c r="I37" s="1">
        <v>7110</v>
      </c>
      <c r="J37" s="1">
        <v>0.84299999999999997</v>
      </c>
      <c r="K37" s="1">
        <v>5.46</v>
      </c>
      <c r="L37" s="1">
        <v>38.799999999999997</v>
      </c>
      <c r="M37" s="1">
        <v>13700</v>
      </c>
      <c r="N37" s="1">
        <v>80800</v>
      </c>
      <c r="O37">
        <f>VLOOKUP(A37,'[1]Structural Steel Section Proper'!$A$1:$O$37,5,FALSE)</f>
        <v>47.6</v>
      </c>
      <c r="P37">
        <f>VLOOKUP(A37,'[1]Structural Steel Section Proper'!$A$1:$O$37,3,FALSE)</f>
        <v>474.6</v>
      </c>
      <c r="Q37">
        <f>VLOOKUP(A37,'[1]Structural Steel Section Proper'!$A$1:$O$37,6,FALSE)</f>
        <v>77</v>
      </c>
      <c r="S37">
        <f>VLOOKUP(A37,'[1]Structural Steel Section Proper'!$A$1:$O$37,4,FALSE)</f>
        <v>424</v>
      </c>
    </row>
  </sheetData>
  <sortState xmlns:xlrd2="http://schemas.microsoft.com/office/spreadsheetml/2017/richdata2" ref="A2:N37">
    <sortCondition ref="N2:N37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Structural Steel Section Proper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Imran Nsamba</cp:lastModifiedBy>
  <dcterms:modified xsi:type="dcterms:W3CDTF">2026-03-22T20:28:04Z</dcterms:modified>
</cp:coreProperties>
</file>